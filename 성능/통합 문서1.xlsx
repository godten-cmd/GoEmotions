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z\Desktop\goemotions\"/>
    </mc:Choice>
  </mc:AlternateContent>
  <bookViews>
    <workbookView xWindow="0" yWindow="0" windowWidth="28800" windowHeight="11595" activeTab="2"/>
  </bookViews>
  <sheets>
    <sheet name="Sheet1" sheetId="1" r:id="rId1"/>
    <sheet name="Sheet2" sheetId="2" r:id="rId2"/>
    <sheet name="Sheet1 (2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3" l="1"/>
  <c r="I14" i="3"/>
  <c r="I13" i="3"/>
  <c r="I12" i="3"/>
  <c r="I11" i="3"/>
  <c r="I10" i="3"/>
  <c r="J15" i="3"/>
  <c r="J14" i="3"/>
  <c r="J13" i="3"/>
  <c r="J12" i="3"/>
  <c r="J11" i="3"/>
  <c r="J10" i="3"/>
  <c r="J9" i="3"/>
  <c r="I9" i="3"/>
  <c r="I4" i="3"/>
  <c r="J1" i="3"/>
  <c r="J6" i="3" s="1"/>
  <c r="I1" i="3"/>
  <c r="I7" i="3" s="1"/>
  <c r="I6" i="3" l="1"/>
  <c r="I2" i="3"/>
  <c r="J3" i="3"/>
  <c r="J5" i="3"/>
  <c r="J7" i="3"/>
  <c r="J2" i="3"/>
  <c r="J4" i="3"/>
  <c r="I3" i="3"/>
  <c r="I5" i="3"/>
  <c r="M4" i="2"/>
  <c r="M3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I15" i="1"/>
  <c r="I14" i="1"/>
  <c r="I13" i="1"/>
  <c r="I11" i="1"/>
  <c r="I10" i="1"/>
  <c r="J15" i="1"/>
  <c r="J14" i="1"/>
  <c r="J13" i="1"/>
  <c r="J12" i="1"/>
  <c r="J11" i="1"/>
  <c r="J10" i="1"/>
  <c r="I12" i="1"/>
  <c r="J9" i="1"/>
  <c r="I9" i="1"/>
  <c r="J7" i="1"/>
  <c r="J6" i="1"/>
  <c r="J5" i="1"/>
  <c r="J4" i="1"/>
  <c r="J3" i="1"/>
  <c r="J2" i="1"/>
  <c r="I3" i="1"/>
  <c r="I4" i="1"/>
  <c r="I5" i="1"/>
  <c r="I6" i="1"/>
  <c r="I7" i="1"/>
  <c r="I2" i="1"/>
  <c r="J1" i="1"/>
  <c r="I1" i="1"/>
</calcChain>
</file>

<file path=xl/sharedStrings.xml><?xml version="1.0" encoding="utf-8"?>
<sst xmlns="http://schemas.openxmlformats.org/spreadsheetml/2006/main" count="200" uniqueCount="43">
  <si>
    <t>accuracy</t>
  </si>
  <si>
    <t>f1_micro</t>
  </si>
  <si>
    <t>f1_macro</t>
  </si>
  <si>
    <t>ekman_accuracy</t>
  </si>
  <si>
    <t>ekman_f1_micro</t>
  </si>
  <si>
    <t>ekman_f1_macro</t>
  </si>
  <si>
    <t>accuracy</t>
    <phoneticPr fontId="1" type="noConversion"/>
  </si>
  <si>
    <t>micro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</si>
  <si>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</si>
  <si>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</si>
  <si>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</si>
  <si>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macro</t>
    <phoneticPr fontId="1" type="noConversion"/>
  </si>
  <si>
    <t>admiration</t>
  </si>
  <si>
    <t>amusement</t>
  </si>
  <si>
    <t>anger</t>
  </si>
  <si>
    <t>annoyance</t>
  </si>
  <si>
    <t>approval</t>
  </si>
  <si>
    <t>caring</t>
  </si>
  <si>
    <t>confusion</t>
  </si>
  <si>
    <t>curiosity</t>
  </si>
  <si>
    <t>desire</t>
  </si>
  <si>
    <t>disapproval</t>
  </si>
  <si>
    <t>disgust</t>
  </si>
  <si>
    <t>Precision</t>
  </si>
  <si>
    <t>Recall</t>
  </si>
  <si>
    <t>F1-Score</t>
  </si>
  <si>
    <t>disappointment</t>
  </si>
  <si>
    <t>embarrassment</t>
  </si>
  <si>
    <t>excitement</t>
  </si>
  <si>
    <t>fear</t>
  </si>
  <si>
    <t>gratitude</t>
  </si>
  <si>
    <t>grief</t>
  </si>
  <si>
    <t>joy</t>
  </si>
  <si>
    <t>love</t>
  </si>
  <si>
    <t>nervousness</t>
  </si>
  <si>
    <t>optimism</t>
  </si>
  <si>
    <t>pride</t>
  </si>
  <si>
    <t>realization</t>
  </si>
  <si>
    <t>relief</t>
  </si>
  <si>
    <t>remorse</t>
  </si>
  <si>
    <t>sadness</t>
  </si>
  <si>
    <t>surprise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</si>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</sst>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"/>
      <family val="2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f1_macro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cat>
            <c:numRef>
              <c:f>Sheet1!$B$2:$B$7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0.94796962157063636</c:v>
                </c:pt>
                <c:pt idx="1">
                  <c:v>0.99619781756679848</c:v>
                </c:pt>
                <c:pt idx="2">
                  <c:v>1.0106096827177962</c:v>
                </c:pt>
                <c:pt idx="3">
                  <c:v>1.007783252833748</c:v>
                </c:pt>
                <c:pt idx="4">
                  <c:v>0.99819485778406603</c:v>
                </c:pt>
                <c:pt idx="5">
                  <c:v>1.0392447675269552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4-463F-AAF6-5DA8364E3AD0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ekman_f1_macro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cat>
            <c:numRef>
              <c:f>Sheet1!$B$2:$B$7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Sheet1!$J$2:$J$7</c:f>
              <c:numCache>
                <c:formatCode>General</c:formatCode>
                <c:ptCount val="6"/>
                <c:pt idx="0">
                  <c:v>1.008127032887604</c:v>
                </c:pt>
                <c:pt idx="1">
                  <c:v>1.0130172569569931</c:v>
                </c:pt>
                <c:pt idx="2">
                  <c:v>1.0013959161546802</c:v>
                </c:pt>
                <c:pt idx="3">
                  <c:v>0.98988525478857969</c:v>
                </c:pt>
                <c:pt idx="4">
                  <c:v>0.99194976508854349</c:v>
                </c:pt>
                <c:pt idx="5">
                  <c:v>0.99562477412359951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4-463F-AAF6-5DA8364E3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591887"/>
        <c:axId val="851589391"/>
      </c:lineChart>
      <c:catAx>
        <c:axId val="8515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1589391"/>
        <c:crosses val="autoZero"/>
        <c:auto val="1"/>
        <c:lblAlgn val="ctr"/>
        <c:lblOffset val="100"/>
        <c:noMultiLvlLbl val="0"/>
      </c:catAx>
      <c:valAx>
        <c:axId val="8515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15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10870516185477"/>
          <c:y val="7.407407407407407E-2"/>
          <c:w val="0.88389129483814521"/>
          <c:h val="0.841674686497521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Sheet1!$I$10:$I$15</c:f>
              <c:numCache>
                <c:formatCode>General</c:formatCode>
                <c:ptCount val="6"/>
                <c:pt idx="0">
                  <c:v>0.92554365409658712</c:v>
                </c:pt>
                <c:pt idx="1">
                  <c:v>1.0151317349453686</c:v>
                </c:pt>
                <c:pt idx="2">
                  <c:v>1.0168461067717687</c:v>
                </c:pt>
                <c:pt idx="3">
                  <c:v>1.0057075510679176</c:v>
                </c:pt>
                <c:pt idx="4">
                  <c:v>1.0042654046355015</c:v>
                </c:pt>
                <c:pt idx="5">
                  <c:v>1.0325055484828565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5-4003-A6E6-8EFF25C982F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Sheet1!$J$10:$J$15</c:f>
              <c:numCache>
                <c:formatCode>General</c:formatCode>
                <c:ptCount val="6"/>
                <c:pt idx="0">
                  <c:v>1.0058407341778053</c:v>
                </c:pt>
                <c:pt idx="1">
                  <c:v>1.0116077919558906</c:v>
                </c:pt>
                <c:pt idx="2">
                  <c:v>1.005240797780085</c:v>
                </c:pt>
                <c:pt idx="3">
                  <c:v>0.99635903261383585</c:v>
                </c:pt>
                <c:pt idx="4">
                  <c:v>0.98925677804082435</c:v>
                </c:pt>
                <c:pt idx="5">
                  <c:v>0.9916948654315596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5-4003-A6E6-8EFF25C98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586351"/>
        <c:axId val="855588431"/>
      </c:lineChart>
      <c:catAx>
        <c:axId val="8555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5588431"/>
        <c:crosses val="autoZero"/>
        <c:auto val="1"/>
        <c:lblAlgn val="ctr"/>
        <c:lblOffset val="100"/>
        <c:noMultiLvlLbl val="0"/>
      </c:catAx>
      <c:valAx>
        <c:axId val="8555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55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'Sheet1 (2)'!$E$1</c:f>
              <c:strCache>
                <c:ptCount val="1"/>
                <c:pt idx="0">
                  <c:v>f1_macro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cat>
            <c:numRef>
              <c:f>'Sheet1 (2)'!$B$2:$B$7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'Sheet1 (2)'!$I$2:$I$7</c:f>
              <c:numCache>
                <c:formatCode>General</c:formatCode>
                <c:ptCount val="6"/>
                <c:pt idx="0">
                  <c:v>0.94796962157063636</c:v>
                </c:pt>
                <c:pt idx="1">
                  <c:v>0.99619781756679848</c:v>
                </c:pt>
                <c:pt idx="2">
                  <c:v>1.0106096827177962</c:v>
                </c:pt>
                <c:pt idx="3">
                  <c:v>1.007783252833748</c:v>
                </c:pt>
                <c:pt idx="4">
                  <c:v>0.99819485778406603</c:v>
                </c:pt>
                <c:pt idx="5">
                  <c:v>1.0392447675269552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D-4A70-914D-32AA5BD92C4F}"/>
            </c:ext>
          </c:extLst>
        </c:ser>
        <c:ser>
          <c:idx val="1"/>
          <c:order val="1"/>
          <c:tx>
            <c:strRef>
              <c:f>'Sheet1 (2)'!$H$1</c:f>
              <c:strCache>
                <c:ptCount val="1"/>
                <c:pt idx="0">
                  <c:v>ekman_f1_macro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cat>
            <c:numRef>
              <c:f>'Sheet1 (2)'!$B$2:$B$7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'Sheet1 (2)'!$J$2:$J$7</c:f>
              <c:numCache>
                <c:formatCode>General</c:formatCode>
                <c:ptCount val="6"/>
                <c:pt idx="0">
                  <c:v>1.008127032887604</c:v>
                </c:pt>
                <c:pt idx="1">
                  <c:v>1.0130172569569931</c:v>
                </c:pt>
                <c:pt idx="2">
                  <c:v>1.0013959161546802</c:v>
                </c:pt>
                <c:pt idx="3">
                  <c:v>0.98988525478857969</c:v>
                </c:pt>
                <c:pt idx="4">
                  <c:v>0.99194976508854349</c:v>
                </c:pt>
                <c:pt idx="5">
                  <c:v>0.99562477412359951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D-4A70-914D-32AA5BD92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591887"/>
        <c:axId val="851589391"/>
      </c:lineChart>
      <c:catAx>
        <c:axId val="8515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1589391"/>
        <c:crosses val="autoZero"/>
        <c:auto val="1"/>
        <c:lblAlgn val="ctr"/>
        <c:lblOffset val="100"/>
        <c:noMultiLvlLbl val="0"/>
      </c:catAx>
      <c:valAx>
        <c:axId val="8515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15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(2)'!$E$9</c:f>
              <c:strCache>
                <c:ptCount val="1"/>
                <c:pt idx="0">
                  <c:v>f1_macro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'Sheet1 (2)'!$B$10:$B$15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'Sheet1 (2)'!$I$10:$I$15</c:f>
              <c:numCache>
                <c:formatCode>General</c:formatCode>
                <c:ptCount val="6"/>
                <c:pt idx="0">
                  <c:v>0.95855528355728425</c:v>
                </c:pt>
                <c:pt idx="1">
                  <c:v>0.97711085214634397</c:v>
                </c:pt>
                <c:pt idx="2">
                  <c:v>0.9797419146899895</c:v>
                </c:pt>
                <c:pt idx="3">
                  <c:v>1.0458473610990826</c:v>
                </c:pt>
                <c:pt idx="4">
                  <c:v>1.0297321030192539</c:v>
                </c:pt>
                <c:pt idx="5">
                  <c:v>1.0090124854880458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5-459F-A95B-3BBC726CEF10}"/>
            </c:ext>
          </c:extLst>
        </c:ser>
        <c:ser>
          <c:idx val="1"/>
          <c:order val="1"/>
          <c:tx>
            <c:strRef>
              <c:f>'Sheet1 (2)'!$H$9</c:f>
              <c:strCache>
                <c:ptCount val="1"/>
                <c:pt idx="0">
                  <c:v>ekman_f1_macro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'Sheet1 (2)'!$J$10:$J$15</c:f>
              <c:numCache>
                <c:formatCode>General</c:formatCode>
                <c:ptCount val="6"/>
                <c:pt idx="0">
                  <c:v>0.98440991090012275</c:v>
                </c:pt>
                <c:pt idx="1">
                  <c:v>0.99738339414730204</c:v>
                </c:pt>
                <c:pt idx="2">
                  <c:v>0.99980958108574081</c:v>
                </c:pt>
                <c:pt idx="3">
                  <c:v>1.0064264545542103</c:v>
                </c:pt>
                <c:pt idx="4">
                  <c:v>1.0156900774100677</c:v>
                </c:pt>
                <c:pt idx="5">
                  <c:v>0.99628058190255708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5-459F-A95B-3BBC726CE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97984"/>
        <c:axId val="1520898816"/>
      </c:lineChart>
      <c:catAx>
        <c:axId val="152089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0898816"/>
        <c:crosses val="autoZero"/>
        <c:auto val="1"/>
        <c:lblAlgn val="ctr"/>
        <c:lblOffset val="100"/>
        <c:noMultiLvlLbl val="0"/>
      </c:catAx>
      <c:valAx>
        <c:axId val="15208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089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90487</xdr:rowOff>
    </xdr:from>
    <xdr:to>
      <xdr:col>14</xdr:col>
      <xdr:colOff>371475</xdr:colOff>
      <xdr:row>13</xdr:row>
      <xdr:rowOff>109537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14</xdr:row>
      <xdr:rowOff>71437</xdr:rowOff>
    </xdr:from>
    <xdr:to>
      <xdr:col>14</xdr:col>
      <xdr:colOff>304800</xdr:colOff>
      <xdr:row>27</xdr:row>
      <xdr:rowOff>90487</xdr:rowOff>
    </xdr:to>
    <xdr:graphicFrame macro="">
      <xdr:nvGraphicFramePr>
        <xdr:cNvPr id="8" name="차트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90487</xdr:rowOff>
    </xdr:from>
    <xdr:to>
      <xdr:col>14</xdr:col>
      <xdr:colOff>371475</xdr:colOff>
      <xdr:row>8</xdr:row>
      <xdr:rowOff>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9</xdr:row>
      <xdr:rowOff>185736</xdr:rowOff>
    </xdr:from>
    <xdr:to>
      <xdr:col>13</xdr:col>
      <xdr:colOff>1314450</xdr:colOff>
      <xdr:row>24</xdr:row>
      <xdr:rowOff>190499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activeCell="G11" sqref="G11"/>
    </sheetView>
  </sheetViews>
  <sheetFormatPr defaultColWidth="18.875" defaultRowHeight="16.5" x14ac:dyDescent="0.3"/>
  <cols>
    <col min="1" max="2" width="4.875" style="2" bestFit="1" customWidth="1"/>
    <col min="3" max="3" width="8.625" style="2" bestFit="1" customWidth="1"/>
    <col min="4" max="4" width="8.875" style="2" bestFit="1" customWidth="1"/>
    <col min="5" max="5" width="9.125" style="2" bestFit="1" customWidth="1"/>
    <col min="6" max="7" width="15.375" style="2" bestFit="1" customWidth="1"/>
    <col min="8" max="8" width="16" style="2" bestFit="1" customWidth="1"/>
    <col min="9" max="10" width="19" style="2" bestFit="1" customWidth="1"/>
    <col min="11" max="16384" width="18.875" style="2"/>
  </cols>
  <sheetData>
    <row r="1" spans="1:10" x14ac:dyDescent="0.3">
      <c r="A1" s="1">
        <v>0.25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2">
        <f>AVERAGE(E2:E7)</f>
        <v>0.30745499999999998</v>
      </c>
      <c r="J1" s="2">
        <f>AVERAGE(H2:H7)</f>
        <v>0.44272</v>
      </c>
    </row>
    <row r="2" spans="1:10" x14ac:dyDescent="0.3">
      <c r="A2" s="1">
        <v>0.75</v>
      </c>
      <c r="B2" s="2">
        <v>0</v>
      </c>
      <c r="C2" s="3">
        <v>0.2288</v>
      </c>
      <c r="D2" s="3">
        <v>0.29493900000000001</v>
      </c>
      <c r="E2" s="3">
        <v>0.29145799999999999</v>
      </c>
      <c r="F2" s="3">
        <v>0.45800000000000002</v>
      </c>
      <c r="G2" s="3">
        <v>0.51114499999999996</v>
      </c>
      <c r="H2" s="3">
        <v>0.44631799999999999</v>
      </c>
      <c r="I2" s="2">
        <f>E2/$I$1</f>
        <v>0.94796962157063636</v>
      </c>
      <c r="J2" s="2">
        <f>H2/$J$1</f>
        <v>1.008127032887604</v>
      </c>
    </row>
    <row r="3" spans="1:10" x14ac:dyDescent="0.3">
      <c r="B3" s="2">
        <v>4</v>
      </c>
      <c r="C3" s="1">
        <v>0.23</v>
      </c>
      <c r="D3" s="1">
        <v>0.30320399999999997</v>
      </c>
      <c r="E3" s="1">
        <v>0.306286</v>
      </c>
      <c r="F3" s="1">
        <v>0.45400000000000001</v>
      </c>
      <c r="G3" s="1">
        <v>0.51217699999999999</v>
      </c>
      <c r="H3" s="1">
        <v>0.44848300000000002</v>
      </c>
      <c r="I3" s="2">
        <f t="shared" ref="I3:I7" si="0">E3/$I$1</f>
        <v>0.99619781756679848</v>
      </c>
      <c r="J3" s="2">
        <f t="shared" ref="J3:J7" si="1">H3/$J$1</f>
        <v>1.0130172569569931</v>
      </c>
    </row>
    <row r="4" spans="1:10" x14ac:dyDescent="0.3">
      <c r="B4" s="2">
        <v>8</v>
      </c>
      <c r="C4" s="1">
        <v>0.23880000000000001</v>
      </c>
      <c r="D4" s="1">
        <v>0.30510900000000002</v>
      </c>
      <c r="E4" s="1">
        <v>0.31071700000000002</v>
      </c>
      <c r="F4" s="1">
        <v>0.4556</v>
      </c>
      <c r="G4" s="1">
        <v>0.50875499999999996</v>
      </c>
      <c r="H4" s="1">
        <v>0.44333800000000001</v>
      </c>
      <c r="I4" s="2">
        <f t="shared" si="0"/>
        <v>1.0106096827177962</v>
      </c>
      <c r="J4" s="2">
        <f t="shared" si="1"/>
        <v>1.0013959161546802</v>
      </c>
    </row>
    <row r="5" spans="1:10" x14ac:dyDescent="0.3">
      <c r="B5" s="2">
        <v>12</v>
      </c>
      <c r="C5" s="1">
        <v>0.246</v>
      </c>
      <c r="D5" s="1">
        <v>0.30702099999999999</v>
      </c>
      <c r="E5" s="1">
        <v>0.30984800000000001</v>
      </c>
      <c r="F5" s="1">
        <v>0.45800000000000002</v>
      </c>
      <c r="G5" s="1">
        <v>0.50492099999999995</v>
      </c>
      <c r="H5" s="1">
        <v>0.43824200000000002</v>
      </c>
      <c r="I5" s="2">
        <f t="shared" si="0"/>
        <v>1.007783252833748</v>
      </c>
      <c r="J5" s="2">
        <f t="shared" si="1"/>
        <v>0.98988525478857969</v>
      </c>
    </row>
    <row r="6" spans="1:10" x14ac:dyDescent="0.3">
      <c r="B6" s="2">
        <v>16</v>
      </c>
      <c r="C6" s="1">
        <v>0.24479999999999999</v>
      </c>
      <c r="D6" s="1">
        <v>0.30642799999999998</v>
      </c>
      <c r="E6" s="1">
        <v>0.30690000000000001</v>
      </c>
      <c r="F6" s="1">
        <v>0.45800000000000002</v>
      </c>
      <c r="G6" s="1">
        <v>0.50436800000000004</v>
      </c>
      <c r="H6" s="1">
        <v>0.43915599999999999</v>
      </c>
      <c r="I6" s="2">
        <f t="shared" si="0"/>
        <v>0.99819485778406603</v>
      </c>
      <c r="J6" s="2">
        <f t="shared" si="1"/>
        <v>0.99194976508854349</v>
      </c>
    </row>
    <row r="7" spans="1:10" x14ac:dyDescent="0.3">
      <c r="B7" s="2">
        <v>20</v>
      </c>
      <c r="C7" s="1">
        <v>0.24840000000000001</v>
      </c>
      <c r="D7" s="1">
        <v>0.30928600000000001</v>
      </c>
      <c r="E7" s="1">
        <v>0.319521</v>
      </c>
      <c r="F7" s="1">
        <v>0.46479999999999999</v>
      </c>
      <c r="G7" s="1">
        <v>0.514459</v>
      </c>
      <c r="H7" s="1">
        <v>0.44078299999999998</v>
      </c>
      <c r="I7" s="2">
        <f t="shared" si="0"/>
        <v>1.0392447675269552</v>
      </c>
      <c r="J7" s="2">
        <f t="shared" si="1"/>
        <v>0.99562477412359951</v>
      </c>
    </row>
    <row r="9" spans="1:10" x14ac:dyDescent="0.3">
      <c r="A9" s="1">
        <v>0</v>
      </c>
      <c r="C9" s="3" t="s">
        <v>0</v>
      </c>
      <c r="D9" s="3" t="s">
        <v>1</v>
      </c>
      <c r="E9" s="3" t="s">
        <v>2</v>
      </c>
      <c r="F9" s="3" t="s">
        <v>3</v>
      </c>
      <c r="G9" s="3" t="s">
        <v>4</v>
      </c>
      <c r="H9" s="3" t="s">
        <v>5</v>
      </c>
      <c r="I9" s="2">
        <f>AVERAGE(E10:E15)</f>
        <v>0.30856783333333332</v>
      </c>
      <c r="J9" s="2">
        <f>AVERAGE(H10:H15)</f>
        <v>0.44338033333333327</v>
      </c>
    </row>
    <row r="10" spans="1:10" x14ac:dyDescent="0.3">
      <c r="A10" s="1">
        <v>0.25</v>
      </c>
      <c r="B10" s="2">
        <v>0</v>
      </c>
      <c r="C10" s="3">
        <v>0.22359999999999999</v>
      </c>
      <c r="D10" s="3">
        <v>0.28934500000000002</v>
      </c>
      <c r="E10" s="3">
        <v>0.28559299999999999</v>
      </c>
      <c r="F10" s="3">
        <v>0.45479999999999998</v>
      </c>
      <c r="G10" s="3">
        <v>0.50765499999999997</v>
      </c>
      <c r="H10" s="3">
        <v>0.44596999999999998</v>
      </c>
      <c r="I10" s="2">
        <f t="shared" ref="I10:I11" si="2">E10/$I$9</f>
        <v>0.92554365409658712</v>
      </c>
      <c r="J10" s="2">
        <f>H10/$J$9</f>
        <v>1.0058407341778053</v>
      </c>
    </row>
    <row r="11" spans="1:10" x14ac:dyDescent="0.3">
      <c r="B11" s="2">
        <v>4</v>
      </c>
      <c r="C11" s="1">
        <v>0.23400000000000001</v>
      </c>
      <c r="D11" s="1">
        <v>0.30733500000000002</v>
      </c>
      <c r="E11" s="1">
        <v>0.31323699999999999</v>
      </c>
      <c r="F11" s="1">
        <v>0.45519999999999999</v>
      </c>
      <c r="G11" s="1">
        <v>0.51320500000000002</v>
      </c>
      <c r="H11" s="1">
        <v>0.44852700000000001</v>
      </c>
      <c r="I11" s="2">
        <f t="shared" si="2"/>
        <v>1.0151317349453686</v>
      </c>
      <c r="J11" s="2">
        <f t="shared" ref="J11:J15" si="3">H11/$J$9</f>
        <v>1.0116077919558906</v>
      </c>
    </row>
    <row r="12" spans="1:10" x14ac:dyDescent="0.3">
      <c r="B12" s="2">
        <v>8</v>
      </c>
      <c r="C12" s="1">
        <v>0.23599999999999999</v>
      </c>
      <c r="D12" s="1">
        <v>0.30187999999999998</v>
      </c>
      <c r="E12" s="1">
        <v>0.31376599999999999</v>
      </c>
      <c r="F12" s="1">
        <v>0.45519999999999999</v>
      </c>
      <c r="G12" s="1">
        <v>0.508104</v>
      </c>
      <c r="H12" s="1">
        <v>0.44570399999999999</v>
      </c>
      <c r="I12" s="2">
        <f>E12/$I$9</f>
        <v>1.0168461067717687</v>
      </c>
      <c r="J12" s="2">
        <f t="shared" si="3"/>
        <v>1.005240797780085</v>
      </c>
    </row>
    <row r="13" spans="1:10" x14ac:dyDescent="0.3">
      <c r="B13" s="2">
        <v>12</v>
      </c>
      <c r="C13" s="1">
        <v>0.24560000000000001</v>
      </c>
      <c r="D13" s="1">
        <v>0.30676900000000001</v>
      </c>
      <c r="E13" s="1">
        <v>0.31032900000000002</v>
      </c>
      <c r="F13" s="1">
        <v>0.45879999999999999</v>
      </c>
      <c r="G13" s="1">
        <v>0.50530299999999995</v>
      </c>
      <c r="H13" s="1">
        <v>0.44176599999999999</v>
      </c>
      <c r="I13" s="2">
        <f t="shared" ref="I13:I15" si="4">E13/$I$9</f>
        <v>1.0057075510679176</v>
      </c>
      <c r="J13" s="2">
        <f t="shared" si="3"/>
        <v>0.99635903261383585</v>
      </c>
    </row>
    <row r="14" spans="1:10" x14ac:dyDescent="0.3">
      <c r="B14" s="2">
        <v>16</v>
      </c>
      <c r="C14" s="1">
        <v>0.24479999999999999</v>
      </c>
      <c r="D14" s="1">
        <v>0.30549999999999999</v>
      </c>
      <c r="E14" s="1">
        <v>0.30988399999999999</v>
      </c>
      <c r="F14" s="1">
        <v>0.4592</v>
      </c>
      <c r="G14" s="1">
        <v>0.50522299999999998</v>
      </c>
      <c r="H14" s="1">
        <v>0.43861699999999998</v>
      </c>
      <c r="I14" s="2">
        <f t="shared" si="4"/>
        <v>1.0042654046355015</v>
      </c>
      <c r="J14" s="2">
        <f t="shared" si="3"/>
        <v>0.98925677804082435</v>
      </c>
    </row>
    <row r="15" spans="1:10" x14ac:dyDescent="0.3">
      <c r="B15" s="2">
        <v>20</v>
      </c>
      <c r="C15" s="1">
        <v>0.25</v>
      </c>
      <c r="D15" s="1">
        <v>0.31148999999999999</v>
      </c>
      <c r="E15" s="1">
        <v>0.31859799999999999</v>
      </c>
      <c r="F15" s="1">
        <v>0.4652</v>
      </c>
      <c r="G15" s="1">
        <v>0.51482499999999998</v>
      </c>
      <c r="H15" s="1">
        <v>0.43969799999999998</v>
      </c>
      <c r="I15" s="2">
        <f t="shared" si="4"/>
        <v>1.0325055484828565</v>
      </c>
      <c r="J15" s="2">
        <f t="shared" si="3"/>
        <v>0.9916948654315596</v>
      </c>
    </row>
    <row r="17" spans="1:8" x14ac:dyDescent="0.3">
      <c r="A17" s="1">
        <v>0.5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4</v>
      </c>
      <c r="H17" s="3" t="s">
        <v>5</v>
      </c>
    </row>
    <row r="18" spans="1:8" x14ac:dyDescent="0.3">
      <c r="A18" s="1">
        <v>1</v>
      </c>
      <c r="B18" s="2">
        <v>0</v>
      </c>
      <c r="C18" s="3">
        <v>0.222</v>
      </c>
      <c r="D18" s="3">
        <v>0.28820299999999999</v>
      </c>
      <c r="E18" s="3">
        <v>0.27918599999999999</v>
      </c>
      <c r="F18" s="3">
        <v>0.45600000000000002</v>
      </c>
      <c r="G18" s="3">
        <v>0.50869200000000003</v>
      </c>
      <c r="H18" s="3">
        <v>0.44594</v>
      </c>
    </row>
    <row r="19" spans="1:8" x14ac:dyDescent="0.3">
      <c r="B19" s="2">
        <v>4</v>
      </c>
      <c r="C19" s="1">
        <v>0.23480000000000001</v>
      </c>
      <c r="D19" s="1">
        <v>0.30780299999999999</v>
      </c>
      <c r="E19" s="1">
        <v>0.31465799999999999</v>
      </c>
      <c r="F19" s="1">
        <v>0.45079999999999998</v>
      </c>
      <c r="G19" s="1">
        <v>0.506942</v>
      </c>
      <c r="H19" s="1">
        <v>0.44724000000000003</v>
      </c>
    </row>
    <row r="20" spans="1:8" x14ac:dyDescent="0.3">
      <c r="B20" s="2">
        <v>8</v>
      </c>
      <c r="C20" s="1">
        <v>0.23680000000000001</v>
      </c>
      <c r="D20" s="1">
        <v>0.30369699999999999</v>
      </c>
      <c r="E20" s="1">
        <v>0.31034200000000001</v>
      </c>
      <c r="F20" s="1">
        <v>0.4536</v>
      </c>
      <c r="G20" s="1">
        <v>0.50573800000000002</v>
      </c>
      <c r="H20" s="1">
        <v>0.43404500000000001</v>
      </c>
    </row>
    <row r="21" spans="1:8" x14ac:dyDescent="0.3">
      <c r="B21" s="2">
        <v>12</v>
      </c>
      <c r="C21" s="1">
        <v>0.24199999999999999</v>
      </c>
      <c r="D21" s="1">
        <v>0.30248999999999998</v>
      </c>
      <c r="E21" s="1">
        <v>0.308477</v>
      </c>
      <c r="F21" s="1">
        <v>0.45600000000000002</v>
      </c>
      <c r="G21" s="1">
        <v>0.502556</v>
      </c>
      <c r="H21" s="1">
        <v>0.43712499999999999</v>
      </c>
    </row>
    <row r="22" spans="1:8" x14ac:dyDescent="0.3">
      <c r="B22" s="2">
        <v>16</v>
      </c>
      <c r="C22" s="1">
        <v>0.24199999999999999</v>
      </c>
      <c r="D22" s="1">
        <v>0.30368200000000001</v>
      </c>
      <c r="E22" s="1">
        <v>0.30484800000000001</v>
      </c>
      <c r="F22" s="1">
        <v>0.45639999999999997</v>
      </c>
      <c r="G22" s="1">
        <v>0.50502400000000003</v>
      </c>
      <c r="H22" s="1">
        <v>0.432778</v>
      </c>
    </row>
    <row r="23" spans="1:8" x14ac:dyDescent="0.3">
      <c r="B23" s="2">
        <v>20</v>
      </c>
      <c r="C23" s="1">
        <v>0.24679999999999999</v>
      </c>
      <c r="D23" s="1">
        <v>0.30808400000000002</v>
      </c>
      <c r="E23" s="1">
        <v>0.314666</v>
      </c>
      <c r="F23" s="1">
        <v>0.46279999999999999</v>
      </c>
      <c r="G23" s="1">
        <v>0.51133799999999996</v>
      </c>
      <c r="H23" s="1">
        <v>0.44215700000000002</v>
      </c>
    </row>
    <row r="25" spans="1:8" x14ac:dyDescent="0.3">
      <c r="A25" s="1">
        <v>0</v>
      </c>
      <c r="C25" s="3" t="s">
        <v>0</v>
      </c>
      <c r="D25" s="3" t="s">
        <v>1</v>
      </c>
      <c r="E25" s="3" t="s">
        <v>2</v>
      </c>
      <c r="F25" s="3" t="s">
        <v>3</v>
      </c>
      <c r="G25" s="3" t="s">
        <v>4</v>
      </c>
      <c r="H25" s="3" t="s">
        <v>5</v>
      </c>
    </row>
    <row r="26" spans="1:8" x14ac:dyDescent="0.3">
      <c r="A26" s="1">
        <v>0.75</v>
      </c>
      <c r="B26" s="2">
        <v>0</v>
      </c>
      <c r="C26" s="3">
        <v>0.22639999999999999</v>
      </c>
      <c r="D26" s="3">
        <v>0.29245300000000002</v>
      </c>
      <c r="E26" s="3">
        <v>0.29317100000000001</v>
      </c>
      <c r="F26" s="3">
        <v>0.4572</v>
      </c>
      <c r="G26" s="3">
        <v>0.51067899999999999</v>
      </c>
      <c r="H26" s="3">
        <v>0.445575</v>
      </c>
    </row>
    <row r="27" spans="1:8" x14ac:dyDescent="0.3">
      <c r="B27" s="2">
        <v>4</v>
      </c>
      <c r="C27" s="1">
        <v>0.2288</v>
      </c>
      <c r="D27" s="1">
        <v>0.303734</v>
      </c>
      <c r="E27" s="1">
        <v>0.30907699999999999</v>
      </c>
      <c r="F27" s="1">
        <v>0.45040000000000002</v>
      </c>
      <c r="G27" s="1">
        <v>0.50786500000000001</v>
      </c>
      <c r="H27" s="1">
        <v>0.44628299999999999</v>
      </c>
    </row>
    <row r="28" spans="1:8" x14ac:dyDescent="0.3">
      <c r="B28" s="2">
        <v>8</v>
      </c>
      <c r="C28" s="1">
        <v>0.23799999999999999</v>
      </c>
      <c r="D28" s="1">
        <v>0.30538500000000002</v>
      </c>
      <c r="E28" s="1">
        <v>0.31470199999999998</v>
      </c>
      <c r="F28" s="1">
        <v>0.4556</v>
      </c>
      <c r="G28" s="1">
        <v>0.50838499999999998</v>
      </c>
      <c r="H28" s="1">
        <v>0.44172699999999998</v>
      </c>
    </row>
    <row r="29" spans="1:8" x14ac:dyDescent="0.3">
      <c r="B29" s="2">
        <v>12</v>
      </c>
      <c r="C29" s="1">
        <v>0.24560000000000001</v>
      </c>
      <c r="D29" s="1">
        <v>0.30718800000000002</v>
      </c>
      <c r="E29" s="1">
        <v>0.31215700000000002</v>
      </c>
      <c r="F29" s="1">
        <v>0.4592</v>
      </c>
      <c r="G29" s="1">
        <v>0.50700999999999996</v>
      </c>
      <c r="H29" s="1">
        <v>0.44171700000000003</v>
      </c>
    </row>
    <row r="30" spans="1:8" x14ac:dyDescent="0.3">
      <c r="B30" s="2">
        <v>16</v>
      </c>
      <c r="C30" s="1">
        <v>0.2452</v>
      </c>
      <c r="D30" s="1">
        <v>0.30617499999999997</v>
      </c>
      <c r="E30" s="1">
        <v>0.308255</v>
      </c>
      <c r="F30" s="1">
        <v>0.4612</v>
      </c>
      <c r="G30" s="1">
        <v>0.50721899999999998</v>
      </c>
      <c r="H30" s="1">
        <v>0.43874299999999999</v>
      </c>
    </row>
    <row r="31" spans="1:8" x14ac:dyDescent="0.3">
      <c r="B31" s="2">
        <v>20</v>
      </c>
      <c r="C31" s="1">
        <v>0.24879999999999999</v>
      </c>
      <c r="D31" s="1">
        <v>0.30959300000000001</v>
      </c>
      <c r="E31" s="1">
        <v>0.31535999999999997</v>
      </c>
      <c r="F31" s="1">
        <v>0.4632</v>
      </c>
      <c r="G31" s="1">
        <v>0.51304300000000003</v>
      </c>
      <c r="H31" s="1">
        <v>0.43934000000000001</v>
      </c>
    </row>
    <row r="33" spans="1:8" x14ac:dyDescent="0.3">
      <c r="A33" s="1">
        <v>1</v>
      </c>
      <c r="C33" s="3" t="s">
        <v>0</v>
      </c>
      <c r="D33" s="3" t="s">
        <v>1</v>
      </c>
      <c r="E33" s="3" t="s">
        <v>2</v>
      </c>
      <c r="F33" s="3" t="s">
        <v>3</v>
      </c>
      <c r="G33" s="3" t="s">
        <v>4</v>
      </c>
      <c r="H33" s="3" t="s">
        <v>5</v>
      </c>
    </row>
    <row r="34" spans="1:8" x14ac:dyDescent="0.3">
      <c r="A34" s="1">
        <v>0.25</v>
      </c>
      <c r="B34" s="2">
        <v>0</v>
      </c>
      <c r="C34" s="3">
        <v>0.2268</v>
      </c>
      <c r="D34" s="3">
        <v>0.29327500000000001</v>
      </c>
      <c r="E34" s="3">
        <v>0.293987</v>
      </c>
      <c r="F34" s="3">
        <v>0.45800000000000002</v>
      </c>
      <c r="G34" s="3">
        <v>0.51104799999999995</v>
      </c>
      <c r="H34" s="3">
        <v>0.44511099999999998</v>
      </c>
    </row>
    <row r="35" spans="1:8" x14ac:dyDescent="0.3">
      <c r="B35" s="2">
        <v>4</v>
      </c>
      <c r="C35" s="1">
        <v>0.2336</v>
      </c>
      <c r="D35" s="1">
        <v>0.306674</v>
      </c>
      <c r="E35" s="1">
        <v>0.31076799999999999</v>
      </c>
      <c r="F35" s="1">
        <v>0.45200000000000001</v>
      </c>
      <c r="G35" s="1">
        <v>0.51095699999999999</v>
      </c>
      <c r="H35" s="1">
        <v>0.45137899999999997</v>
      </c>
    </row>
    <row r="36" spans="1:8" x14ac:dyDescent="0.3">
      <c r="B36" s="2">
        <v>8</v>
      </c>
      <c r="C36" s="1">
        <v>0.2356</v>
      </c>
      <c r="D36" s="1">
        <v>0.30363299999999999</v>
      </c>
      <c r="E36" s="1">
        <v>0.31366699999999997</v>
      </c>
      <c r="F36" s="1">
        <v>0.45600000000000002</v>
      </c>
      <c r="G36" s="1">
        <v>0.50876200000000005</v>
      </c>
      <c r="H36" s="1">
        <v>0.44563000000000003</v>
      </c>
    </row>
    <row r="37" spans="1:8" x14ac:dyDescent="0.3">
      <c r="B37" s="2">
        <v>12</v>
      </c>
      <c r="C37" s="1">
        <v>0.24440000000000001</v>
      </c>
      <c r="D37" s="1">
        <v>0.305369</v>
      </c>
      <c r="E37" s="1">
        <v>0.31245800000000001</v>
      </c>
      <c r="F37" s="1">
        <v>0.4572</v>
      </c>
      <c r="G37" s="1">
        <v>0.50378800000000001</v>
      </c>
      <c r="H37" s="1">
        <v>0.43895200000000001</v>
      </c>
    </row>
    <row r="38" spans="1:8" x14ac:dyDescent="0.3">
      <c r="B38" s="2">
        <v>16</v>
      </c>
      <c r="C38" s="1">
        <v>0.24279999999999999</v>
      </c>
      <c r="D38" s="1">
        <v>0.30336299999999999</v>
      </c>
      <c r="E38" s="1">
        <v>0.30803000000000003</v>
      </c>
      <c r="F38" s="1">
        <v>0.46079999999999999</v>
      </c>
      <c r="G38" s="1">
        <v>0.50712299999999999</v>
      </c>
      <c r="H38" s="1">
        <v>0.43751000000000001</v>
      </c>
    </row>
    <row r="39" spans="1:8" x14ac:dyDescent="0.3">
      <c r="B39" s="2">
        <v>20</v>
      </c>
      <c r="C39" s="1">
        <v>0.252</v>
      </c>
      <c r="D39" s="1">
        <v>0.31141000000000002</v>
      </c>
      <c r="E39" s="1">
        <v>0.31565100000000001</v>
      </c>
      <c r="F39" s="1">
        <v>0.46839999999999998</v>
      </c>
      <c r="G39" s="1">
        <v>0.51710500000000004</v>
      </c>
      <c r="H39" s="1">
        <v>0.44622000000000001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93"/>
  <sheetViews>
    <sheetView workbookViewId="0">
      <selection activeCell="H4" sqref="B4:H4"/>
    </sheetView>
  </sheetViews>
  <sheetFormatPr defaultRowHeight="16.5" x14ac:dyDescent="0.3"/>
  <cols>
    <col min="1" max="1" width="15.375" style="4" bestFit="1" customWidth="1"/>
    <col min="2" max="2" width="9.125" style="4" bestFit="1" customWidth="1"/>
    <col min="3" max="4" width="7.5" style="4" bestFit="1" customWidth="1"/>
    <col min="5" max="6" width="9" style="4"/>
    <col min="7" max="7" width="8" style="4" bestFit="1" customWidth="1"/>
    <col min="8" max="8" width="9.125" style="4" bestFit="1" customWidth="1"/>
    <col min="9" max="10" width="7.5" style="4" bestFit="1" customWidth="1"/>
    <col min="11" max="16384" width="9" style="4"/>
  </cols>
  <sheetData>
    <row r="3" spans="1:13" x14ac:dyDescent="0.3">
      <c r="A3" s="6" t="s">
        <v>6</v>
      </c>
      <c r="B3" s="6"/>
      <c r="C3" s="4">
        <v>0.2288</v>
      </c>
      <c r="D3" s="4">
        <v>0.2384</v>
      </c>
      <c r="E3" s="4">
        <f>D3-C3</f>
        <v>9.5999999999999974E-3</v>
      </c>
      <c r="G3" s="6" t="s">
        <v>6</v>
      </c>
      <c r="H3" s="6"/>
      <c r="I3" s="4">
        <v>0.45800000000000002</v>
      </c>
      <c r="J3" s="4">
        <v>0.4556</v>
      </c>
      <c r="K3" s="4">
        <f>J3-I3</f>
        <v>-2.4000000000000132E-3</v>
      </c>
      <c r="M3" s="4">
        <f>COUNTIF(E3:E93,"&lt;0")</f>
        <v>29</v>
      </c>
    </row>
    <row r="4" spans="1:13" x14ac:dyDescent="0.3">
      <c r="A4" s="4" t="s">
        <v>7</v>
      </c>
      <c r="B4" s="4" t="s">
        <v>8</v>
      </c>
      <c r="C4" s="4">
        <v>0.31780000000000003</v>
      </c>
      <c r="D4" s="4">
        <v>0.32740000000000002</v>
      </c>
      <c r="E4" s="4">
        <f t="shared" ref="E4:E67" si="0">D4-C4</f>
        <v>9.5999999999999974E-3</v>
      </c>
      <c r="G4" s="4" t="s">
        <v>7</v>
      </c>
      <c r="H4" s="4" t="s">
        <v>8</v>
      </c>
      <c r="I4" s="4">
        <v>0.53290000000000004</v>
      </c>
      <c r="J4" s="4">
        <v>0.53029999999999999</v>
      </c>
      <c r="K4" s="4">
        <f t="shared" ref="K4:K30" si="1">J4-I4</f>
        <v>-2.6000000000000467E-3</v>
      </c>
      <c r="M4" s="4">
        <f>COUNTIF(E3:E93,"&gt;0")</f>
        <v>52</v>
      </c>
    </row>
    <row r="5" spans="1:13" x14ac:dyDescent="0.3">
      <c r="B5" s="4" t="s">
        <v>9</v>
      </c>
      <c r="C5" s="4">
        <v>0.27510000000000001</v>
      </c>
      <c r="D5" s="4">
        <v>0.30320000000000003</v>
      </c>
      <c r="E5" s="4">
        <f t="shared" si="0"/>
        <v>2.8100000000000014E-2</v>
      </c>
      <c r="H5" s="4" t="s">
        <v>9</v>
      </c>
      <c r="I5" s="4">
        <v>0.49109999999999998</v>
      </c>
      <c r="J5" s="4">
        <v>0.50890000000000002</v>
      </c>
      <c r="K5" s="4">
        <f t="shared" si="1"/>
        <v>1.7800000000000038E-2</v>
      </c>
    </row>
    <row r="6" spans="1:13" x14ac:dyDescent="0.3">
      <c r="B6" s="4" t="s">
        <v>10</v>
      </c>
      <c r="C6" s="4">
        <v>0.2949</v>
      </c>
      <c r="D6" s="4">
        <v>0.31480000000000002</v>
      </c>
      <c r="E6" s="4">
        <f t="shared" si="0"/>
        <v>1.9900000000000029E-2</v>
      </c>
      <c r="H6" s="4" t="s">
        <v>10</v>
      </c>
      <c r="I6" s="4">
        <v>0.5111</v>
      </c>
      <c r="J6" s="4">
        <v>0.51939999999999997</v>
      </c>
      <c r="K6" s="4">
        <f t="shared" si="1"/>
        <v>8.2999999999999741E-3</v>
      </c>
    </row>
    <row r="7" spans="1:13" x14ac:dyDescent="0.3">
      <c r="A7" s="4" t="s">
        <v>11</v>
      </c>
      <c r="B7" s="4" t="s">
        <v>8</v>
      </c>
      <c r="C7" s="4">
        <v>0.36759999999999998</v>
      </c>
      <c r="D7" s="4">
        <v>0.36940000000000001</v>
      </c>
      <c r="E7" s="4">
        <f t="shared" si="0"/>
        <v>1.8000000000000238E-3</v>
      </c>
      <c r="G7" s="4" t="s">
        <v>11</v>
      </c>
      <c r="H7" s="4" t="s">
        <v>8</v>
      </c>
      <c r="I7" s="4">
        <v>0.46660000000000001</v>
      </c>
      <c r="J7" s="4">
        <v>0.46989999999999998</v>
      </c>
      <c r="K7" s="4">
        <f t="shared" si="1"/>
        <v>3.2999999999999696E-3</v>
      </c>
    </row>
    <row r="8" spans="1:13" x14ac:dyDescent="0.3">
      <c r="B8" s="4" t="s">
        <v>9</v>
      </c>
      <c r="C8" s="4">
        <v>0.31380000000000002</v>
      </c>
      <c r="D8" s="4">
        <v>0.34510000000000002</v>
      </c>
      <c r="E8" s="4">
        <f t="shared" si="0"/>
        <v>3.1299999999999994E-2</v>
      </c>
      <c r="H8" s="4" t="s">
        <v>9</v>
      </c>
      <c r="I8" s="4">
        <v>0.48459999999999998</v>
      </c>
      <c r="J8" s="4">
        <v>0.49859999999999999</v>
      </c>
      <c r="K8" s="4">
        <f t="shared" si="1"/>
        <v>1.4000000000000012E-2</v>
      </c>
    </row>
    <row r="9" spans="1:13" x14ac:dyDescent="0.3">
      <c r="B9" s="4" t="s">
        <v>10</v>
      </c>
      <c r="C9" s="4">
        <v>0.29149999999999998</v>
      </c>
      <c r="D9" s="4">
        <v>0.31280000000000002</v>
      </c>
      <c r="E9" s="4">
        <f t="shared" si="0"/>
        <v>2.1300000000000041E-2</v>
      </c>
      <c r="H9" s="4" t="s">
        <v>10</v>
      </c>
      <c r="I9" s="4">
        <v>0.44629999999999997</v>
      </c>
      <c r="J9" s="4">
        <v>0.45760000000000001</v>
      </c>
      <c r="K9" s="4">
        <f t="shared" si="1"/>
        <v>1.1300000000000032E-2</v>
      </c>
    </row>
    <row r="10" spans="1:13" x14ac:dyDescent="0.3">
      <c r="A10" s="5" t="s">
        <v>12</v>
      </c>
      <c r="B10" s="5" t="s">
        <v>23</v>
      </c>
      <c r="C10" s="5">
        <v>0.71189999999999998</v>
      </c>
      <c r="D10" s="5">
        <v>0.66180000000000005</v>
      </c>
      <c r="E10" s="4">
        <f t="shared" si="0"/>
        <v>-5.0099999999999922E-2</v>
      </c>
      <c r="G10" s="5" t="s">
        <v>14</v>
      </c>
      <c r="H10" s="5" t="s">
        <v>23</v>
      </c>
      <c r="I10" s="5">
        <v>0.3992</v>
      </c>
      <c r="J10" s="5">
        <v>0.37390000000000001</v>
      </c>
      <c r="K10" s="4">
        <f t="shared" si="1"/>
        <v>-2.5299999999999989E-2</v>
      </c>
    </row>
    <row r="11" spans="1:13" x14ac:dyDescent="0.3">
      <c r="A11" s="5"/>
      <c r="B11" s="5" t="s">
        <v>24</v>
      </c>
      <c r="C11" s="5">
        <v>0.1842</v>
      </c>
      <c r="D11" s="5">
        <v>0.19739999999999999</v>
      </c>
      <c r="E11" s="4">
        <f t="shared" si="0"/>
        <v>1.319999999999999E-2</v>
      </c>
      <c r="G11" s="5"/>
      <c r="H11" s="5" t="s">
        <v>24</v>
      </c>
      <c r="I11" s="5">
        <v>0.61219999999999997</v>
      </c>
      <c r="J11" s="5">
        <v>0.61809999999999998</v>
      </c>
      <c r="K11" s="4">
        <f t="shared" si="1"/>
        <v>5.9000000000000163E-3</v>
      </c>
    </row>
    <row r="12" spans="1:13" x14ac:dyDescent="0.3">
      <c r="A12" s="5"/>
      <c r="B12" s="5" t="s">
        <v>25</v>
      </c>
      <c r="C12" s="5">
        <v>0.29270000000000002</v>
      </c>
      <c r="D12" s="5">
        <v>0.30409999999999998</v>
      </c>
      <c r="E12" s="4">
        <f t="shared" si="0"/>
        <v>1.1399999999999966E-2</v>
      </c>
      <c r="G12" s="5"/>
      <c r="H12" s="5" t="s">
        <v>25</v>
      </c>
      <c r="I12" s="5">
        <v>0.48330000000000001</v>
      </c>
      <c r="J12" s="5">
        <v>0.46589999999999998</v>
      </c>
      <c r="K12" s="4">
        <f t="shared" si="1"/>
        <v>-1.7400000000000027E-2</v>
      </c>
    </row>
    <row r="13" spans="1:13" x14ac:dyDescent="0.3">
      <c r="A13" s="5" t="s">
        <v>13</v>
      </c>
      <c r="B13" s="5" t="s">
        <v>23</v>
      </c>
      <c r="C13" s="5">
        <v>0.31519999999999998</v>
      </c>
      <c r="D13" s="5">
        <v>0.33639999999999998</v>
      </c>
      <c r="E13" s="4">
        <f t="shared" si="0"/>
        <v>2.1199999999999997E-2</v>
      </c>
      <c r="G13" s="5" t="s">
        <v>22</v>
      </c>
      <c r="H13" s="5" t="s">
        <v>23</v>
      </c>
      <c r="I13" s="5">
        <v>0.38640000000000002</v>
      </c>
      <c r="J13" s="5">
        <v>0.42859999999999998</v>
      </c>
      <c r="K13" s="4">
        <f t="shared" si="1"/>
        <v>4.219999999999996E-2</v>
      </c>
    </row>
    <row r="14" spans="1:13" x14ac:dyDescent="0.3">
      <c r="A14" s="5"/>
      <c r="B14" s="5" t="s">
        <v>24</v>
      </c>
      <c r="C14" s="5">
        <v>0.70269999999999999</v>
      </c>
      <c r="D14" s="5">
        <v>0.72970000000000002</v>
      </c>
      <c r="E14" s="4">
        <f t="shared" si="0"/>
        <v>2.7000000000000024E-2</v>
      </c>
      <c r="G14" s="5"/>
      <c r="H14" s="5" t="s">
        <v>24</v>
      </c>
      <c r="I14" s="5">
        <v>0.33329999999999999</v>
      </c>
      <c r="J14" s="5">
        <v>0.29409999999999997</v>
      </c>
      <c r="K14" s="4">
        <f t="shared" si="1"/>
        <v>-3.9200000000000013E-2</v>
      </c>
    </row>
    <row r="15" spans="1:13" x14ac:dyDescent="0.3">
      <c r="A15" s="5"/>
      <c r="B15" s="5" t="s">
        <v>25</v>
      </c>
      <c r="C15" s="5">
        <v>0.43509999999999999</v>
      </c>
      <c r="D15" s="5">
        <v>0.46060000000000001</v>
      </c>
      <c r="E15" s="4">
        <f t="shared" si="0"/>
        <v>2.5500000000000023E-2</v>
      </c>
      <c r="G15" s="5"/>
      <c r="H15" s="5" t="s">
        <v>25</v>
      </c>
      <c r="I15" s="5">
        <v>0.3579</v>
      </c>
      <c r="J15" s="5">
        <v>0.3488</v>
      </c>
      <c r="K15" s="4">
        <f t="shared" si="1"/>
        <v>-9.099999999999997E-3</v>
      </c>
    </row>
    <row r="16" spans="1:13" x14ac:dyDescent="0.3">
      <c r="A16" s="5" t="s">
        <v>14</v>
      </c>
      <c r="B16" s="5" t="s">
        <v>23</v>
      </c>
      <c r="C16" s="5">
        <v>0.2402</v>
      </c>
      <c r="D16" s="5">
        <v>0.23019999999999999</v>
      </c>
      <c r="E16" s="4">
        <f t="shared" si="0"/>
        <v>-1.0000000000000009E-2</v>
      </c>
      <c r="G16" s="5" t="s">
        <v>29</v>
      </c>
      <c r="H16" s="5" t="s">
        <v>23</v>
      </c>
      <c r="I16" s="5">
        <v>0.35899999999999999</v>
      </c>
      <c r="J16" s="5">
        <v>0.378</v>
      </c>
      <c r="K16" s="4">
        <f t="shared" si="1"/>
        <v>1.9000000000000017E-2</v>
      </c>
    </row>
    <row r="17" spans="1:11" x14ac:dyDescent="0.3">
      <c r="A17" s="5"/>
      <c r="B17" s="5" t="s">
        <v>24</v>
      </c>
      <c r="C17" s="5">
        <v>0.67779999999999996</v>
      </c>
      <c r="D17" s="5">
        <v>0.67779999999999996</v>
      </c>
      <c r="E17" s="4">
        <f t="shared" si="0"/>
        <v>0</v>
      </c>
      <c r="G17" s="5"/>
      <c r="H17" s="5" t="s">
        <v>24</v>
      </c>
      <c r="I17" s="5">
        <v>0.52829999999999999</v>
      </c>
      <c r="J17" s="5">
        <v>0.58489999999999998</v>
      </c>
      <c r="K17" s="4">
        <f t="shared" si="1"/>
        <v>5.6599999999999984E-2</v>
      </c>
    </row>
    <row r="18" spans="1:11" x14ac:dyDescent="0.3">
      <c r="A18" s="5"/>
      <c r="B18" s="5" t="s">
        <v>25</v>
      </c>
      <c r="C18" s="5">
        <v>0.35470000000000002</v>
      </c>
      <c r="D18" s="5">
        <v>0.34370000000000001</v>
      </c>
      <c r="E18" s="4">
        <f t="shared" si="0"/>
        <v>-1.100000000000001E-2</v>
      </c>
      <c r="G18" s="5"/>
      <c r="H18" s="5" t="s">
        <v>25</v>
      </c>
      <c r="I18" s="5">
        <v>0.42749999999999999</v>
      </c>
      <c r="J18" s="5">
        <v>0.45929999999999999</v>
      </c>
      <c r="K18" s="4">
        <f t="shared" si="1"/>
        <v>3.1799999999999995E-2</v>
      </c>
    </row>
    <row r="19" spans="1:11" x14ac:dyDescent="0.3">
      <c r="A19" s="5" t="s">
        <v>15</v>
      </c>
      <c r="B19" s="5" t="s">
        <v>23</v>
      </c>
      <c r="C19" s="5">
        <v>0.18920000000000001</v>
      </c>
      <c r="D19" s="5">
        <v>0.2</v>
      </c>
      <c r="E19" s="4">
        <f t="shared" si="0"/>
        <v>1.0800000000000004E-2</v>
      </c>
      <c r="G19" s="5" t="s">
        <v>32</v>
      </c>
      <c r="H19" s="5" t="s">
        <v>23</v>
      </c>
      <c r="I19" s="5">
        <v>0.71030000000000004</v>
      </c>
      <c r="J19" s="5">
        <v>0.71779999999999999</v>
      </c>
      <c r="K19" s="4">
        <f t="shared" si="1"/>
        <v>7.4999999999999512E-3</v>
      </c>
    </row>
    <row r="20" spans="1:11" x14ac:dyDescent="0.3">
      <c r="A20" s="5"/>
      <c r="B20" s="5" t="s">
        <v>24</v>
      </c>
      <c r="C20" s="5">
        <v>0.1</v>
      </c>
      <c r="D20" s="5">
        <v>0.1429</v>
      </c>
      <c r="E20" s="4">
        <f t="shared" si="0"/>
        <v>4.2899999999999994E-2</v>
      </c>
      <c r="G20" s="5"/>
      <c r="H20" s="5" t="s">
        <v>24</v>
      </c>
      <c r="I20" s="5">
        <v>0.68210000000000004</v>
      </c>
      <c r="J20" s="5">
        <v>0.68310000000000004</v>
      </c>
      <c r="K20" s="4">
        <f t="shared" si="1"/>
        <v>1.0000000000000009E-3</v>
      </c>
    </row>
    <row r="21" spans="1:11" x14ac:dyDescent="0.3">
      <c r="A21" s="5"/>
      <c r="B21" s="5" t="s">
        <v>25</v>
      </c>
      <c r="C21" s="5">
        <v>0.1308</v>
      </c>
      <c r="D21" s="5">
        <v>0.16669999999999999</v>
      </c>
      <c r="E21" s="4">
        <f t="shared" si="0"/>
        <v>3.5899999999999987E-2</v>
      </c>
      <c r="G21" s="5"/>
      <c r="H21" s="5" t="s">
        <v>25</v>
      </c>
      <c r="I21" s="5">
        <v>0.69589999999999996</v>
      </c>
      <c r="J21" s="5">
        <v>0.7</v>
      </c>
      <c r="K21" s="4">
        <f t="shared" si="1"/>
        <v>4.0999999999999925E-3</v>
      </c>
    </row>
    <row r="22" spans="1:11" x14ac:dyDescent="0.3">
      <c r="A22" s="5" t="s">
        <v>16</v>
      </c>
      <c r="B22" s="5" t="s">
        <v>23</v>
      </c>
      <c r="C22" s="5">
        <v>0.24099999999999999</v>
      </c>
      <c r="D22" s="5">
        <v>0.18679999999999999</v>
      </c>
      <c r="E22" s="4">
        <f t="shared" si="0"/>
        <v>-5.4199999999999998E-2</v>
      </c>
      <c r="G22" s="5" t="s">
        <v>40</v>
      </c>
      <c r="H22" s="5" t="s">
        <v>23</v>
      </c>
      <c r="I22" s="5">
        <v>0.4163</v>
      </c>
      <c r="J22" s="5">
        <v>0.4153</v>
      </c>
      <c r="K22" s="4">
        <f t="shared" si="1"/>
        <v>-1.0000000000000009E-3</v>
      </c>
    </row>
    <row r="23" spans="1:11" x14ac:dyDescent="0.3">
      <c r="A23" s="5"/>
      <c r="B23" s="5" t="s">
        <v>24</v>
      </c>
      <c r="C23" s="5">
        <v>0.11559999999999999</v>
      </c>
      <c r="D23" s="5">
        <v>9.8299999999999998E-2</v>
      </c>
      <c r="E23" s="4">
        <f t="shared" si="0"/>
        <v>-1.7299999999999996E-2</v>
      </c>
      <c r="G23" s="5"/>
      <c r="H23" s="5" t="s">
        <v>24</v>
      </c>
      <c r="I23" s="5">
        <v>0.53120000000000001</v>
      </c>
      <c r="J23" s="5">
        <v>0.53649999999999998</v>
      </c>
      <c r="K23" s="4">
        <f t="shared" si="1"/>
        <v>5.2999999999999714E-3</v>
      </c>
    </row>
    <row r="24" spans="1:11" x14ac:dyDescent="0.3">
      <c r="A24" s="5"/>
      <c r="B24" s="5" t="s">
        <v>25</v>
      </c>
      <c r="C24" s="5">
        <v>0.15620000000000001</v>
      </c>
      <c r="D24" s="5">
        <v>0.1288</v>
      </c>
      <c r="E24" s="4">
        <f t="shared" si="0"/>
        <v>-2.7400000000000008E-2</v>
      </c>
      <c r="G24" s="5"/>
      <c r="H24" s="5" t="s">
        <v>25</v>
      </c>
      <c r="I24" s="5">
        <v>0.46679999999999999</v>
      </c>
      <c r="J24" s="5">
        <v>0.46820000000000001</v>
      </c>
      <c r="K24" s="4">
        <f t="shared" si="1"/>
        <v>1.4000000000000123E-3</v>
      </c>
    </row>
    <row r="25" spans="1:11" x14ac:dyDescent="0.3">
      <c r="A25" s="5" t="s">
        <v>17</v>
      </c>
      <c r="B25" s="5" t="s">
        <v>23</v>
      </c>
      <c r="C25" s="5">
        <v>0.33329999999999999</v>
      </c>
      <c r="D25" s="5">
        <v>0.29110000000000003</v>
      </c>
      <c r="E25" s="4">
        <f t="shared" si="0"/>
        <v>-4.219999999999996E-2</v>
      </c>
      <c r="G25" s="5" t="s">
        <v>41</v>
      </c>
      <c r="H25" s="5" t="s">
        <v>23</v>
      </c>
      <c r="I25" s="5">
        <v>0.3528</v>
      </c>
      <c r="J25" s="5">
        <v>0.36470000000000002</v>
      </c>
      <c r="K25" s="4">
        <f t="shared" si="1"/>
        <v>1.1900000000000022E-2</v>
      </c>
    </row>
    <row r="26" spans="1:11" x14ac:dyDescent="0.3">
      <c r="A26" s="5"/>
      <c r="B26" s="5" t="s">
        <v>24</v>
      </c>
      <c r="C26" s="5">
        <v>0.30769999999999997</v>
      </c>
      <c r="D26" s="5">
        <v>0.3538</v>
      </c>
      <c r="E26" s="4">
        <f t="shared" si="0"/>
        <v>4.610000000000003E-2</v>
      </c>
      <c r="G26" s="5"/>
      <c r="H26" s="5" t="s">
        <v>24</v>
      </c>
      <c r="I26" s="5">
        <v>0.53580000000000005</v>
      </c>
      <c r="J26" s="5">
        <v>0.55630000000000002</v>
      </c>
      <c r="K26" s="4">
        <f t="shared" si="1"/>
        <v>2.0499999999999963E-2</v>
      </c>
    </row>
    <row r="27" spans="1:11" x14ac:dyDescent="0.3">
      <c r="A27" s="5"/>
      <c r="B27" s="5" t="s">
        <v>25</v>
      </c>
      <c r="C27" s="5">
        <v>0.32</v>
      </c>
      <c r="D27" s="5">
        <v>0.31940000000000002</v>
      </c>
      <c r="E27" s="4">
        <f t="shared" si="0"/>
        <v>-5.9999999999998943E-4</v>
      </c>
      <c r="G27" s="5"/>
      <c r="H27" s="5" t="s">
        <v>25</v>
      </c>
      <c r="I27" s="5">
        <v>0.42549999999999999</v>
      </c>
      <c r="J27" s="5">
        <v>0.4405</v>
      </c>
      <c r="K27" s="4">
        <f t="shared" si="1"/>
        <v>1.5000000000000013E-2</v>
      </c>
    </row>
    <row r="28" spans="1:11" x14ac:dyDescent="0.3">
      <c r="A28" s="5" t="s">
        <v>18</v>
      </c>
      <c r="B28" s="5" t="s">
        <v>23</v>
      </c>
      <c r="C28" s="5">
        <v>0.14219999999999999</v>
      </c>
      <c r="D28" s="5">
        <v>0.16159999999999999</v>
      </c>
      <c r="E28" s="4">
        <f t="shared" si="0"/>
        <v>1.9400000000000001E-2</v>
      </c>
      <c r="G28" s="5" t="s">
        <v>42</v>
      </c>
      <c r="H28" s="5" t="s">
        <v>23</v>
      </c>
      <c r="I28" s="5">
        <v>0.64249999999999996</v>
      </c>
      <c r="J28" s="5">
        <v>0.61070000000000002</v>
      </c>
      <c r="K28" s="4">
        <f t="shared" si="1"/>
        <v>-3.1799999999999939E-2</v>
      </c>
    </row>
    <row r="29" spans="1:11" x14ac:dyDescent="0.3">
      <c r="A29" s="5"/>
      <c r="B29" s="5" t="s">
        <v>24</v>
      </c>
      <c r="C29" s="5">
        <v>0.48530000000000001</v>
      </c>
      <c r="D29" s="5">
        <v>0.54410000000000003</v>
      </c>
      <c r="E29" s="4">
        <f t="shared" si="0"/>
        <v>5.8800000000000019E-2</v>
      </c>
      <c r="G29" s="5"/>
      <c r="H29" s="5" t="s">
        <v>24</v>
      </c>
      <c r="I29" s="5">
        <v>0.16880000000000001</v>
      </c>
      <c r="J29" s="5">
        <v>0.217</v>
      </c>
      <c r="K29" s="4">
        <f t="shared" si="1"/>
        <v>4.8199999999999993E-2</v>
      </c>
    </row>
    <row r="30" spans="1:11" x14ac:dyDescent="0.3">
      <c r="A30" s="5"/>
      <c r="B30" s="5" t="s">
        <v>25</v>
      </c>
      <c r="C30" s="5">
        <v>0.22</v>
      </c>
      <c r="D30" s="5">
        <v>0.2492</v>
      </c>
      <c r="E30" s="4">
        <f t="shared" si="0"/>
        <v>2.9200000000000004E-2</v>
      </c>
      <c r="G30" s="5"/>
      <c r="H30" s="5" t="s">
        <v>25</v>
      </c>
      <c r="I30" s="5">
        <v>0.26729999999999998</v>
      </c>
      <c r="J30" s="5">
        <v>0.32019999999999998</v>
      </c>
      <c r="K30" s="4">
        <f t="shared" si="1"/>
        <v>5.2900000000000003E-2</v>
      </c>
    </row>
    <row r="31" spans="1:11" x14ac:dyDescent="0.3">
      <c r="A31" s="5" t="s">
        <v>19</v>
      </c>
      <c r="B31" s="5" t="s">
        <v>23</v>
      </c>
      <c r="C31" s="5">
        <v>0.2321</v>
      </c>
      <c r="D31" s="5">
        <v>0.22489999999999999</v>
      </c>
      <c r="E31" s="4">
        <f t="shared" si="0"/>
        <v>-7.2000000000000119E-3</v>
      </c>
    </row>
    <row r="32" spans="1:11" x14ac:dyDescent="0.3">
      <c r="A32" s="5"/>
      <c r="B32" s="5" t="s">
        <v>24</v>
      </c>
      <c r="C32" s="5">
        <v>0.33910000000000001</v>
      </c>
      <c r="D32" s="5">
        <v>0.33040000000000003</v>
      </c>
      <c r="E32" s="4">
        <f t="shared" si="0"/>
        <v>-8.6999999999999855E-3</v>
      </c>
    </row>
    <row r="33" spans="1:5" x14ac:dyDescent="0.3">
      <c r="A33" s="5"/>
      <c r="B33" s="5" t="s">
        <v>25</v>
      </c>
      <c r="C33" s="5">
        <v>0.27560000000000001</v>
      </c>
      <c r="D33" s="5">
        <v>0.2676</v>
      </c>
      <c r="E33" s="4">
        <f t="shared" si="0"/>
        <v>-8.0000000000000071E-3</v>
      </c>
    </row>
    <row r="34" spans="1:5" x14ac:dyDescent="0.3">
      <c r="A34" s="5" t="s">
        <v>20</v>
      </c>
      <c r="B34" s="5" t="s">
        <v>23</v>
      </c>
      <c r="C34" s="5">
        <v>0.36840000000000001</v>
      </c>
      <c r="D34" s="5">
        <v>0.36</v>
      </c>
      <c r="E34" s="4">
        <f t="shared" si="0"/>
        <v>-8.4000000000000186E-3</v>
      </c>
    </row>
    <row r="35" spans="1:5" x14ac:dyDescent="0.3">
      <c r="A35" s="5"/>
      <c r="B35" s="5" t="s">
        <v>24</v>
      </c>
      <c r="C35" s="5">
        <v>0.2059</v>
      </c>
      <c r="D35" s="5">
        <v>0.26469999999999999</v>
      </c>
      <c r="E35" s="4">
        <f t="shared" si="0"/>
        <v>5.8799999999999991E-2</v>
      </c>
    </row>
    <row r="36" spans="1:5" x14ac:dyDescent="0.3">
      <c r="A36" s="5"/>
      <c r="B36" s="5" t="s">
        <v>25</v>
      </c>
      <c r="C36" s="5">
        <v>0.26419999999999999</v>
      </c>
      <c r="D36" s="5">
        <v>0.30509999999999998</v>
      </c>
      <c r="E36" s="4">
        <f t="shared" si="0"/>
        <v>4.0899999999999992E-2</v>
      </c>
    </row>
    <row r="37" spans="1:5" x14ac:dyDescent="0.3">
      <c r="A37" s="5" t="s">
        <v>26</v>
      </c>
      <c r="B37" s="5" t="s">
        <v>23</v>
      </c>
      <c r="C37" s="5">
        <v>0.1653</v>
      </c>
      <c r="D37" s="5">
        <v>0.1532</v>
      </c>
      <c r="E37" s="4">
        <f t="shared" si="0"/>
        <v>-1.21E-2</v>
      </c>
    </row>
    <row r="38" spans="1:5" x14ac:dyDescent="0.3">
      <c r="A38" s="5"/>
      <c r="B38" s="5" t="s">
        <v>24</v>
      </c>
      <c r="C38" s="5">
        <v>0.25319999999999998</v>
      </c>
      <c r="D38" s="5">
        <v>0.2152</v>
      </c>
      <c r="E38" s="4">
        <f t="shared" si="0"/>
        <v>-3.7999999999999978E-2</v>
      </c>
    </row>
    <row r="39" spans="1:5" x14ac:dyDescent="0.3">
      <c r="A39" s="5"/>
      <c r="B39" s="5" t="s">
        <v>25</v>
      </c>
      <c r="C39" s="5">
        <v>0.2</v>
      </c>
      <c r="D39" s="5">
        <v>0.1789</v>
      </c>
      <c r="E39" s="4">
        <f t="shared" si="0"/>
        <v>-2.1100000000000008E-2</v>
      </c>
    </row>
    <row r="40" spans="1:5" x14ac:dyDescent="0.3">
      <c r="A40" s="5" t="s">
        <v>21</v>
      </c>
      <c r="B40" s="5" t="s">
        <v>23</v>
      </c>
      <c r="C40" s="5">
        <v>0.20200000000000001</v>
      </c>
      <c r="D40" s="5">
        <v>0.20300000000000001</v>
      </c>
      <c r="E40" s="4">
        <f t="shared" si="0"/>
        <v>1.0000000000000009E-3</v>
      </c>
    </row>
    <row r="41" spans="1:5" x14ac:dyDescent="0.3">
      <c r="A41" s="5"/>
      <c r="B41" s="5" t="s">
        <v>24</v>
      </c>
      <c r="C41" s="5">
        <v>0.2878</v>
      </c>
      <c r="D41" s="5">
        <v>0.29499999999999998</v>
      </c>
      <c r="E41" s="4">
        <f t="shared" si="0"/>
        <v>7.1999999999999842E-3</v>
      </c>
    </row>
    <row r="42" spans="1:5" x14ac:dyDescent="0.3">
      <c r="A42" s="5"/>
      <c r="B42" s="5" t="s">
        <v>25</v>
      </c>
      <c r="C42" s="5">
        <v>0.2374</v>
      </c>
      <c r="D42" s="5">
        <v>0.24049999999999999</v>
      </c>
      <c r="E42" s="4">
        <f t="shared" si="0"/>
        <v>3.0999999999999917E-3</v>
      </c>
    </row>
    <row r="43" spans="1:5" x14ac:dyDescent="0.3">
      <c r="A43" s="5" t="s">
        <v>22</v>
      </c>
      <c r="B43" s="5" t="s">
        <v>23</v>
      </c>
      <c r="C43" s="5">
        <v>0.38640000000000002</v>
      </c>
      <c r="D43" s="5">
        <v>0.42859999999999998</v>
      </c>
      <c r="E43" s="4">
        <f t="shared" si="0"/>
        <v>4.219999999999996E-2</v>
      </c>
    </row>
    <row r="44" spans="1:5" x14ac:dyDescent="0.3">
      <c r="A44" s="5"/>
      <c r="B44" s="5" t="s">
        <v>24</v>
      </c>
      <c r="C44" s="5">
        <v>0.33329999999999999</v>
      </c>
      <c r="D44" s="5">
        <v>0.29409999999999997</v>
      </c>
      <c r="E44" s="4">
        <f t="shared" si="0"/>
        <v>-3.9200000000000013E-2</v>
      </c>
    </row>
    <row r="45" spans="1:5" x14ac:dyDescent="0.3">
      <c r="A45" s="5"/>
      <c r="B45" s="5" t="s">
        <v>25</v>
      </c>
      <c r="C45" s="5">
        <v>0.3579</v>
      </c>
      <c r="D45" s="5">
        <v>0.3488</v>
      </c>
      <c r="E45" s="4">
        <f t="shared" si="0"/>
        <v>-9.099999999999997E-3</v>
      </c>
    </row>
    <row r="46" spans="1:5" x14ac:dyDescent="0.3">
      <c r="A46" s="5" t="s">
        <v>27</v>
      </c>
      <c r="B46" s="5" t="s">
        <v>23</v>
      </c>
      <c r="C46" s="5">
        <v>0.3846</v>
      </c>
      <c r="D46" s="5">
        <v>0.5</v>
      </c>
      <c r="E46" s="4">
        <f t="shared" si="0"/>
        <v>0.1154</v>
      </c>
    </row>
    <row r="47" spans="1:5" x14ac:dyDescent="0.3">
      <c r="A47" s="5"/>
      <c r="B47" s="5" t="s">
        <v>24</v>
      </c>
      <c r="C47" s="5">
        <v>0.33329999999999999</v>
      </c>
      <c r="D47" s="5">
        <v>0.5333</v>
      </c>
      <c r="E47" s="4">
        <f t="shared" si="0"/>
        <v>0.2</v>
      </c>
    </row>
    <row r="48" spans="1:5" x14ac:dyDescent="0.3">
      <c r="A48" s="5"/>
      <c r="B48" s="5" t="s">
        <v>25</v>
      </c>
      <c r="C48" s="5">
        <v>0.35709999999999997</v>
      </c>
      <c r="D48" s="5">
        <v>0.5161</v>
      </c>
      <c r="E48" s="4">
        <f t="shared" si="0"/>
        <v>0.15900000000000003</v>
      </c>
    </row>
    <row r="49" spans="1:5" x14ac:dyDescent="0.3">
      <c r="A49" s="5" t="s">
        <v>28</v>
      </c>
      <c r="B49" s="5" t="s">
        <v>23</v>
      </c>
      <c r="C49" s="5">
        <v>0.2571</v>
      </c>
      <c r="D49" s="5">
        <v>0.23080000000000001</v>
      </c>
      <c r="E49" s="4">
        <f t="shared" si="0"/>
        <v>-2.629999999999999E-2</v>
      </c>
    </row>
    <row r="50" spans="1:5" x14ac:dyDescent="0.3">
      <c r="A50" s="5"/>
      <c r="B50" s="5" t="s">
        <v>24</v>
      </c>
      <c r="C50" s="5">
        <v>0.2195</v>
      </c>
      <c r="D50" s="5">
        <v>0.2195</v>
      </c>
      <c r="E50" s="4">
        <f t="shared" si="0"/>
        <v>0</v>
      </c>
    </row>
    <row r="51" spans="1:5" x14ac:dyDescent="0.3">
      <c r="A51" s="5"/>
      <c r="B51" s="5" t="s">
        <v>25</v>
      </c>
      <c r="C51" s="5">
        <v>0.23680000000000001</v>
      </c>
      <c r="D51" s="5">
        <v>0.22500000000000001</v>
      </c>
      <c r="E51" s="4">
        <f t="shared" si="0"/>
        <v>-1.1800000000000005E-2</v>
      </c>
    </row>
    <row r="52" spans="1:5" x14ac:dyDescent="0.3">
      <c r="A52" s="5" t="s">
        <v>29</v>
      </c>
      <c r="B52" s="5" t="s">
        <v>23</v>
      </c>
      <c r="C52" s="5">
        <v>0.2838</v>
      </c>
      <c r="D52" s="5">
        <v>0.29330000000000001</v>
      </c>
      <c r="E52" s="4">
        <f t="shared" si="0"/>
        <v>9.5000000000000084E-3</v>
      </c>
    </row>
    <row r="53" spans="1:5" x14ac:dyDescent="0.3">
      <c r="A53" s="5"/>
      <c r="B53" s="5" t="s">
        <v>24</v>
      </c>
      <c r="C53" s="5">
        <v>0.4884</v>
      </c>
      <c r="D53" s="5">
        <v>0.51160000000000005</v>
      </c>
      <c r="E53" s="4">
        <f t="shared" si="0"/>
        <v>2.3200000000000054E-2</v>
      </c>
    </row>
    <row r="54" spans="1:5" x14ac:dyDescent="0.3">
      <c r="A54" s="5"/>
      <c r="B54" s="5" t="s">
        <v>25</v>
      </c>
      <c r="C54" s="5">
        <v>0.35899999999999999</v>
      </c>
      <c r="D54" s="5">
        <v>0.37290000000000001</v>
      </c>
      <c r="E54" s="4">
        <f t="shared" si="0"/>
        <v>1.3900000000000023E-2</v>
      </c>
    </row>
    <row r="55" spans="1:5" x14ac:dyDescent="0.3">
      <c r="A55" s="5" t="s">
        <v>30</v>
      </c>
      <c r="B55" s="5" t="s">
        <v>23</v>
      </c>
      <c r="C55" s="5">
        <v>0.90769999999999995</v>
      </c>
      <c r="D55" s="5">
        <v>0.91300000000000003</v>
      </c>
      <c r="E55" s="4">
        <f t="shared" si="0"/>
        <v>5.3000000000000824E-3</v>
      </c>
    </row>
    <row r="56" spans="1:5" x14ac:dyDescent="0.3">
      <c r="A56" s="5"/>
      <c r="B56" s="5" t="s">
        <v>24</v>
      </c>
      <c r="C56" s="5">
        <v>0.35539999999999999</v>
      </c>
      <c r="D56" s="5">
        <v>0.3795</v>
      </c>
      <c r="E56" s="4">
        <f t="shared" si="0"/>
        <v>2.410000000000001E-2</v>
      </c>
    </row>
    <row r="57" spans="1:5" x14ac:dyDescent="0.3">
      <c r="A57" s="5"/>
      <c r="B57" s="5" t="s">
        <v>25</v>
      </c>
      <c r="C57" s="5">
        <v>0.51080000000000003</v>
      </c>
      <c r="D57" s="5">
        <v>0.53620000000000001</v>
      </c>
      <c r="E57" s="4">
        <f t="shared" si="0"/>
        <v>2.5399999999999978E-2</v>
      </c>
    </row>
    <row r="58" spans="1:5" x14ac:dyDescent="0.3">
      <c r="A58" s="5" t="s">
        <v>31</v>
      </c>
      <c r="B58" s="5" t="s">
        <v>23</v>
      </c>
      <c r="C58" s="5">
        <v>0.4</v>
      </c>
      <c r="D58" s="5">
        <v>0.45450000000000002</v>
      </c>
      <c r="E58" s="4">
        <f t="shared" si="0"/>
        <v>5.4499999999999993E-2</v>
      </c>
    </row>
    <row r="59" spans="1:5" x14ac:dyDescent="0.3">
      <c r="A59" s="5"/>
      <c r="B59" s="5" t="s">
        <v>24</v>
      </c>
      <c r="C59" s="5">
        <v>0.44440000000000002</v>
      </c>
      <c r="D59" s="5">
        <v>0.55559999999999998</v>
      </c>
      <c r="E59" s="4">
        <f t="shared" si="0"/>
        <v>0.11119999999999997</v>
      </c>
    </row>
    <row r="60" spans="1:5" x14ac:dyDescent="0.3">
      <c r="A60" s="5"/>
      <c r="B60" s="5" t="s">
        <v>25</v>
      </c>
      <c r="C60" s="5">
        <v>0.42109999999999997</v>
      </c>
      <c r="D60" s="5">
        <v>0.5</v>
      </c>
      <c r="E60" s="4">
        <f t="shared" si="0"/>
        <v>7.8900000000000026E-2</v>
      </c>
    </row>
    <row r="61" spans="1:5" x14ac:dyDescent="0.3">
      <c r="A61" s="5" t="s">
        <v>32</v>
      </c>
      <c r="B61" s="5" t="s">
        <v>23</v>
      </c>
      <c r="C61" s="5">
        <v>0.20180000000000001</v>
      </c>
      <c r="D61" s="5">
        <v>0.22170000000000001</v>
      </c>
      <c r="E61" s="4">
        <f t="shared" si="0"/>
        <v>1.9900000000000001E-2</v>
      </c>
    </row>
    <row r="62" spans="1:5" x14ac:dyDescent="0.3">
      <c r="A62" s="5"/>
      <c r="B62" s="5" t="s">
        <v>24</v>
      </c>
      <c r="C62" s="5">
        <v>0.47310000000000002</v>
      </c>
      <c r="D62" s="5">
        <v>0.50539999999999996</v>
      </c>
      <c r="E62" s="4">
        <f t="shared" si="0"/>
        <v>3.229999999999994E-2</v>
      </c>
    </row>
    <row r="63" spans="1:5" x14ac:dyDescent="0.3">
      <c r="A63" s="5"/>
      <c r="B63" s="5" t="s">
        <v>25</v>
      </c>
      <c r="C63" s="5">
        <v>0.28299999999999997</v>
      </c>
      <c r="D63" s="5">
        <v>0.30819999999999997</v>
      </c>
      <c r="E63" s="4">
        <f t="shared" si="0"/>
        <v>2.52E-2</v>
      </c>
    </row>
    <row r="64" spans="1:5" x14ac:dyDescent="0.3">
      <c r="A64" s="5" t="s">
        <v>33</v>
      </c>
      <c r="B64" s="5" t="s">
        <v>23</v>
      </c>
      <c r="C64" s="5">
        <v>0.76190000000000002</v>
      </c>
      <c r="D64" s="5">
        <v>0.75860000000000005</v>
      </c>
      <c r="E64" s="4">
        <f t="shared" si="0"/>
        <v>-3.2999999999999696E-3</v>
      </c>
    </row>
    <row r="65" spans="1:5" x14ac:dyDescent="0.3">
      <c r="A65" s="5"/>
      <c r="B65" s="5" t="s">
        <v>24</v>
      </c>
      <c r="C65" s="5">
        <v>0.29630000000000001</v>
      </c>
      <c r="D65" s="5">
        <v>0.40739999999999998</v>
      </c>
      <c r="E65" s="4">
        <f t="shared" si="0"/>
        <v>0.11109999999999998</v>
      </c>
    </row>
    <row r="66" spans="1:5" x14ac:dyDescent="0.3">
      <c r="A66" s="5"/>
      <c r="B66" s="5" t="s">
        <v>25</v>
      </c>
      <c r="C66" s="5">
        <v>0.42670000000000002</v>
      </c>
      <c r="D66" s="5">
        <v>0.53010000000000002</v>
      </c>
      <c r="E66" s="4">
        <f t="shared" si="0"/>
        <v>0.10339999999999999</v>
      </c>
    </row>
    <row r="67" spans="1:5" x14ac:dyDescent="0.3">
      <c r="A67" s="5" t="s">
        <v>34</v>
      </c>
      <c r="B67" s="5" t="s">
        <v>23</v>
      </c>
      <c r="C67" s="5">
        <v>0.5</v>
      </c>
      <c r="D67" s="5">
        <v>0.42859999999999998</v>
      </c>
      <c r="E67" s="4">
        <f t="shared" si="0"/>
        <v>-7.1400000000000019E-2</v>
      </c>
    </row>
    <row r="68" spans="1:5" x14ac:dyDescent="0.3">
      <c r="A68" s="5"/>
      <c r="B68" s="5" t="s">
        <v>24</v>
      </c>
      <c r="C68" s="5">
        <v>0.18179999999999999</v>
      </c>
      <c r="D68" s="5">
        <v>0.2727</v>
      </c>
      <c r="E68" s="4">
        <f t="shared" ref="E68:E93" si="2">D68-C68</f>
        <v>9.0900000000000009E-2</v>
      </c>
    </row>
    <row r="69" spans="1:5" x14ac:dyDescent="0.3">
      <c r="A69" s="5"/>
      <c r="B69" s="5" t="s">
        <v>25</v>
      </c>
      <c r="C69" s="5">
        <v>0.26669999999999999</v>
      </c>
      <c r="D69" s="5">
        <v>0.33329999999999999</v>
      </c>
      <c r="E69" s="4">
        <f t="shared" si="2"/>
        <v>6.6599999999999993E-2</v>
      </c>
    </row>
    <row r="70" spans="1:5" x14ac:dyDescent="0.3">
      <c r="A70" s="5" t="s">
        <v>35</v>
      </c>
      <c r="B70" s="5" t="s">
        <v>23</v>
      </c>
      <c r="C70" s="5">
        <v>0.4</v>
      </c>
      <c r="D70" s="5">
        <v>0.39729999999999999</v>
      </c>
      <c r="E70" s="4">
        <f t="shared" si="2"/>
        <v>-2.7000000000000357E-3</v>
      </c>
    </row>
    <row r="71" spans="1:5" x14ac:dyDescent="0.3">
      <c r="A71" s="5"/>
      <c r="B71" s="5" t="s">
        <v>24</v>
      </c>
      <c r="C71" s="5">
        <v>0.26669999999999999</v>
      </c>
      <c r="D71" s="5">
        <v>0.2762</v>
      </c>
      <c r="E71" s="4">
        <f t="shared" si="2"/>
        <v>9.5000000000000084E-3</v>
      </c>
    </row>
    <row r="72" spans="1:5" x14ac:dyDescent="0.3">
      <c r="A72" s="5"/>
      <c r="B72" s="5" t="s">
        <v>25</v>
      </c>
      <c r="C72" s="5">
        <v>0.32</v>
      </c>
      <c r="D72" s="5">
        <v>0.32579999999999998</v>
      </c>
      <c r="E72" s="4">
        <f t="shared" si="2"/>
        <v>5.7999999999999718E-3</v>
      </c>
    </row>
    <row r="73" spans="1:5" x14ac:dyDescent="0.3">
      <c r="A73" s="5" t="s">
        <v>36</v>
      </c>
      <c r="B73" s="5" t="s">
        <v>23</v>
      </c>
      <c r="C73" s="5">
        <v>0.54549999999999998</v>
      </c>
      <c r="D73" s="5">
        <v>0.42859999999999998</v>
      </c>
      <c r="E73" s="4">
        <f t="shared" si="2"/>
        <v>-0.1169</v>
      </c>
    </row>
    <row r="74" spans="1:5" x14ac:dyDescent="0.3">
      <c r="A74" s="5"/>
      <c r="B74" s="5" t="s">
        <v>24</v>
      </c>
      <c r="C74" s="5">
        <v>0.6</v>
      </c>
      <c r="D74" s="5">
        <v>0.6</v>
      </c>
      <c r="E74" s="4">
        <f t="shared" si="2"/>
        <v>0</v>
      </c>
    </row>
    <row r="75" spans="1:5" x14ac:dyDescent="0.3">
      <c r="A75" s="5"/>
      <c r="B75" s="5" t="s">
        <v>25</v>
      </c>
      <c r="C75" s="5">
        <v>0.57140000000000002</v>
      </c>
      <c r="D75" s="5">
        <v>0.5</v>
      </c>
      <c r="E75" s="4">
        <f t="shared" si="2"/>
        <v>-7.1400000000000019E-2</v>
      </c>
    </row>
    <row r="76" spans="1:5" x14ac:dyDescent="0.3">
      <c r="A76" s="5" t="s">
        <v>37</v>
      </c>
      <c r="B76" s="5" t="s">
        <v>23</v>
      </c>
      <c r="C76" s="5">
        <v>0.16669999999999999</v>
      </c>
      <c r="D76" s="5">
        <v>0.3846</v>
      </c>
      <c r="E76" s="4">
        <f t="shared" si="2"/>
        <v>0.21790000000000001</v>
      </c>
    </row>
    <row r="77" spans="1:5" x14ac:dyDescent="0.3">
      <c r="A77" s="5"/>
      <c r="B77" s="5" t="s">
        <v>24</v>
      </c>
      <c r="C77" s="5">
        <v>1.5599999999999999E-2</v>
      </c>
      <c r="D77" s="5">
        <v>7.8100000000000003E-2</v>
      </c>
      <c r="E77" s="4">
        <f t="shared" si="2"/>
        <v>6.25E-2</v>
      </c>
    </row>
    <row r="78" spans="1:5" x14ac:dyDescent="0.3">
      <c r="A78" s="5"/>
      <c r="B78" s="5" t="s">
        <v>25</v>
      </c>
      <c r="C78" s="5">
        <v>2.86E-2</v>
      </c>
      <c r="D78" s="5">
        <v>0.12989999999999999</v>
      </c>
      <c r="E78" s="4">
        <f t="shared" si="2"/>
        <v>0.10129999999999999</v>
      </c>
    </row>
    <row r="79" spans="1:5" x14ac:dyDescent="0.3">
      <c r="A79" s="5" t="s">
        <v>38</v>
      </c>
      <c r="B79" s="5" t="s">
        <v>23</v>
      </c>
      <c r="C79" s="5">
        <v>5.2600000000000001E-2</v>
      </c>
      <c r="D79" s="5">
        <v>4.5499999999999999E-2</v>
      </c>
      <c r="E79" s="4">
        <f t="shared" si="2"/>
        <v>-7.1000000000000021E-3</v>
      </c>
    </row>
    <row r="80" spans="1:5" x14ac:dyDescent="0.3">
      <c r="A80" s="5"/>
      <c r="B80" s="5" t="s">
        <v>24</v>
      </c>
      <c r="C80" s="5">
        <v>0.1429</v>
      </c>
      <c r="D80" s="5">
        <v>0.1429</v>
      </c>
      <c r="E80" s="4">
        <f t="shared" si="2"/>
        <v>0</v>
      </c>
    </row>
    <row r="81" spans="1:5" x14ac:dyDescent="0.3">
      <c r="A81" s="5"/>
      <c r="B81" s="5" t="s">
        <v>25</v>
      </c>
      <c r="C81" s="5">
        <v>7.6899999999999996E-2</v>
      </c>
      <c r="D81" s="5">
        <v>6.9000000000000006E-2</v>
      </c>
      <c r="E81" s="4">
        <f t="shared" si="2"/>
        <v>-7.8999999999999904E-3</v>
      </c>
    </row>
    <row r="82" spans="1:5" x14ac:dyDescent="0.3">
      <c r="A82" s="5" t="s">
        <v>39</v>
      </c>
      <c r="B82" s="5" t="s">
        <v>23</v>
      </c>
      <c r="C82" s="5">
        <v>0.5</v>
      </c>
      <c r="D82" s="5">
        <v>0.5</v>
      </c>
      <c r="E82" s="4">
        <f t="shared" si="2"/>
        <v>0</v>
      </c>
    </row>
    <row r="83" spans="1:5" x14ac:dyDescent="0.3">
      <c r="A83" s="5"/>
      <c r="B83" s="5" t="s">
        <v>24</v>
      </c>
      <c r="C83" s="5">
        <v>2.63E-2</v>
      </c>
      <c r="D83" s="5">
        <v>2.63E-2</v>
      </c>
      <c r="E83" s="4">
        <f t="shared" si="2"/>
        <v>0</v>
      </c>
    </row>
    <row r="84" spans="1:5" x14ac:dyDescent="0.3">
      <c r="A84" s="5"/>
      <c r="B84" s="5" t="s">
        <v>25</v>
      </c>
      <c r="C84" s="5">
        <v>0.05</v>
      </c>
      <c r="D84" s="5">
        <v>0.05</v>
      </c>
      <c r="E84" s="4">
        <f t="shared" si="2"/>
        <v>0</v>
      </c>
    </row>
    <row r="85" spans="1:5" x14ac:dyDescent="0.3">
      <c r="A85" s="5" t="s">
        <v>40</v>
      </c>
      <c r="B85" s="5" t="s">
        <v>23</v>
      </c>
      <c r="C85" s="5">
        <v>0.32319999999999999</v>
      </c>
      <c r="D85" s="5">
        <v>0.3</v>
      </c>
      <c r="E85" s="4">
        <f t="shared" si="2"/>
        <v>-2.3199999999999998E-2</v>
      </c>
    </row>
    <row r="86" spans="1:5" x14ac:dyDescent="0.3">
      <c r="A86" s="5"/>
      <c r="B86" s="5" t="s">
        <v>24</v>
      </c>
      <c r="C86" s="5">
        <v>0.48480000000000001</v>
      </c>
      <c r="D86" s="5">
        <v>0.5</v>
      </c>
      <c r="E86" s="4">
        <f t="shared" si="2"/>
        <v>1.5199999999999991E-2</v>
      </c>
    </row>
    <row r="87" spans="1:5" x14ac:dyDescent="0.3">
      <c r="A87" s="5"/>
      <c r="B87" s="5" t="s">
        <v>25</v>
      </c>
      <c r="C87" s="5">
        <v>0.38790000000000002</v>
      </c>
      <c r="D87" s="5">
        <v>0.375</v>
      </c>
      <c r="E87" s="4">
        <f t="shared" si="2"/>
        <v>-1.2900000000000023E-2</v>
      </c>
    </row>
    <row r="88" spans="1:5" x14ac:dyDescent="0.3">
      <c r="A88" s="5" t="s">
        <v>41</v>
      </c>
      <c r="B88" s="5" t="s">
        <v>23</v>
      </c>
      <c r="C88" s="5">
        <v>0.439</v>
      </c>
      <c r="D88" s="5">
        <v>0.439</v>
      </c>
      <c r="E88" s="4">
        <f t="shared" si="2"/>
        <v>0</v>
      </c>
    </row>
    <row r="89" spans="1:5" x14ac:dyDescent="0.3">
      <c r="A89" s="5"/>
      <c r="B89" s="5" t="s">
        <v>24</v>
      </c>
      <c r="C89" s="5">
        <v>0.29509999999999997</v>
      </c>
      <c r="D89" s="5">
        <v>0.29509999999999997</v>
      </c>
      <c r="E89" s="4">
        <f t="shared" si="2"/>
        <v>0</v>
      </c>
    </row>
    <row r="90" spans="1:5" x14ac:dyDescent="0.3">
      <c r="A90" s="5"/>
      <c r="B90" s="5" t="s">
        <v>25</v>
      </c>
      <c r="C90" s="5">
        <v>0.35289999999999999</v>
      </c>
      <c r="D90" s="5">
        <v>0.35289999999999999</v>
      </c>
      <c r="E90" s="4">
        <f t="shared" si="2"/>
        <v>0</v>
      </c>
    </row>
    <row r="91" spans="1:5" x14ac:dyDescent="0.3">
      <c r="A91" s="5" t="s">
        <v>42</v>
      </c>
      <c r="B91" s="5" t="s">
        <v>23</v>
      </c>
      <c r="C91" s="5">
        <v>0.64249999999999996</v>
      </c>
      <c r="D91" s="5">
        <v>0.61070000000000002</v>
      </c>
      <c r="E91" s="4">
        <f t="shared" si="2"/>
        <v>-3.1799999999999939E-2</v>
      </c>
    </row>
    <row r="92" spans="1:5" x14ac:dyDescent="0.3">
      <c r="A92" s="5"/>
      <c r="B92" s="5" t="s">
        <v>24</v>
      </c>
      <c r="C92" s="5">
        <v>0.16880000000000001</v>
      </c>
      <c r="D92" s="5">
        <v>0.217</v>
      </c>
      <c r="E92" s="4">
        <f t="shared" si="2"/>
        <v>4.8199999999999993E-2</v>
      </c>
    </row>
    <row r="93" spans="1:5" x14ac:dyDescent="0.3">
      <c r="A93" s="5"/>
      <c r="B93" s="5" t="s">
        <v>25</v>
      </c>
      <c r="C93" s="5">
        <v>0.26729999999999998</v>
      </c>
      <c r="D93" s="5">
        <v>0.32019999999999998</v>
      </c>
      <c r="E93" s="4">
        <f t="shared" si="2"/>
        <v>5.2900000000000003E-2</v>
      </c>
    </row>
  </sheetData>
  <mergeCells count="2">
    <mergeCell ref="A3:B3"/>
    <mergeCell ref="G3:H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J19" sqref="H19:J24"/>
    </sheetView>
  </sheetViews>
  <sheetFormatPr defaultColWidth="18.875" defaultRowHeight="16.5" x14ac:dyDescent="0.3"/>
  <cols>
    <col min="1" max="2" width="4.875" style="2" bestFit="1" customWidth="1"/>
    <col min="3" max="3" width="8.625" style="2" bestFit="1" customWidth="1"/>
    <col min="4" max="4" width="8.875" style="2" bestFit="1" customWidth="1"/>
    <col min="5" max="5" width="9.125" style="2" bestFit="1" customWidth="1"/>
    <col min="6" max="7" width="15.375" style="2" bestFit="1" customWidth="1"/>
    <col min="8" max="8" width="16" style="2" bestFit="1" customWidth="1"/>
    <col min="9" max="10" width="19" style="2" bestFit="1" customWidth="1"/>
    <col min="11" max="16384" width="18.875" style="2"/>
  </cols>
  <sheetData>
    <row r="1" spans="1:10" x14ac:dyDescent="0.3">
      <c r="A1" s="1">
        <v>0.25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2">
        <f>AVERAGE(E2:E7)</f>
        <v>0.30745499999999998</v>
      </c>
      <c r="J1" s="2">
        <f>AVERAGE(H2:H7)</f>
        <v>0.44272</v>
      </c>
    </row>
    <row r="2" spans="1:10" x14ac:dyDescent="0.3">
      <c r="A2" s="1">
        <v>0.75</v>
      </c>
      <c r="B2" s="2">
        <v>0</v>
      </c>
      <c r="C2" s="3">
        <v>0.2288</v>
      </c>
      <c r="D2" s="3">
        <v>0.29493900000000001</v>
      </c>
      <c r="E2" s="3">
        <v>0.29145799999999999</v>
      </c>
      <c r="F2" s="3">
        <v>0.45800000000000002</v>
      </c>
      <c r="G2" s="3">
        <v>0.51114499999999996</v>
      </c>
      <c r="H2" s="3">
        <v>0.44631799999999999</v>
      </c>
      <c r="I2" s="2">
        <f>E2/$I$1</f>
        <v>0.94796962157063636</v>
      </c>
      <c r="J2" s="2">
        <f>H2/$J$1</f>
        <v>1.008127032887604</v>
      </c>
    </row>
    <row r="3" spans="1:10" x14ac:dyDescent="0.3">
      <c r="B3" s="2">
        <v>4</v>
      </c>
      <c r="C3" s="1">
        <v>0.23</v>
      </c>
      <c r="D3" s="1">
        <v>0.30320399999999997</v>
      </c>
      <c r="E3" s="1">
        <v>0.306286</v>
      </c>
      <c r="F3" s="1">
        <v>0.45400000000000001</v>
      </c>
      <c r="G3" s="1">
        <v>0.51217699999999999</v>
      </c>
      <c r="H3" s="1">
        <v>0.44848300000000002</v>
      </c>
      <c r="I3" s="2">
        <f t="shared" ref="I3:I7" si="0">E3/$I$1</f>
        <v>0.99619781756679848</v>
      </c>
      <c r="J3" s="2">
        <f t="shared" ref="J3:J7" si="1">H3/$J$1</f>
        <v>1.0130172569569931</v>
      </c>
    </row>
    <row r="4" spans="1:10" x14ac:dyDescent="0.3">
      <c r="B4" s="2">
        <v>8</v>
      </c>
      <c r="C4" s="1">
        <v>0.23880000000000001</v>
      </c>
      <c r="D4" s="1">
        <v>0.30510900000000002</v>
      </c>
      <c r="E4" s="1">
        <v>0.31071700000000002</v>
      </c>
      <c r="F4" s="1">
        <v>0.4556</v>
      </c>
      <c r="G4" s="1">
        <v>0.50875499999999996</v>
      </c>
      <c r="H4" s="1">
        <v>0.44333800000000001</v>
      </c>
      <c r="I4" s="2">
        <f t="shared" si="0"/>
        <v>1.0106096827177962</v>
      </c>
      <c r="J4" s="2">
        <f t="shared" si="1"/>
        <v>1.0013959161546802</v>
      </c>
    </row>
    <row r="5" spans="1:10" x14ac:dyDescent="0.3">
      <c r="B5" s="2">
        <v>12</v>
      </c>
      <c r="C5" s="1">
        <v>0.246</v>
      </c>
      <c r="D5" s="1">
        <v>0.30702099999999999</v>
      </c>
      <c r="E5" s="1">
        <v>0.30984800000000001</v>
      </c>
      <c r="F5" s="1">
        <v>0.45800000000000002</v>
      </c>
      <c r="G5" s="1">
        <v>0.50492099999999995</v>
      </c>
      <c r="H5" s="1">
        <v>0.43824200000000002</v>
      </c>
      <c r="I5" s="2">
        <f t="shared" si="0"/>
        <v>1.007783252833748</v>
      </c>
      <c r="J5" s="2">
        <f t="shared" si="1"/>
        <v>0.98988525478857969</v>
      </c>
    </row>
    <row r="6" spans="1:10" x14ac:dyDescent="0.3">
      <c r="B6" s="2">
        <v>16</v>
      </c>
      <c r="C6" s="1">
        <v>0.24479999999999999</v>
      </c>
      <c r="D6" s="1">
        <v>0.30642799999999998</v>
      </c>
      <c r="E6" s="1">
        <v>0.30690000000000001</v>
      </c>
      <c r="F6" s="1">
        <v>0.45800000000000002</v>
      </c>
      <c r="G6" s="1">
        <v>0.50436800000000004</v>
      </c>
      <c r="H6" s="1">
        <v>0.43915599999999999</v>
      </c>
      <c r="I6" s="2">
        <f t="shared" si="0"/>
        <v>0.99819485778406603</v>
      </c>
      <c r="J6" s="2">
        <f t="shared" si="1"/>
        <v>0.99194976508854349</v>
      </c>
    </row>
    <row r="7" spans="1:10" x14ac:dyDescent="0.3">
      <c r="B7" s="2">
        <v>20</v>
      </c>
      <c r="C7" s="1">
        <v>0.24840000000000001</v>
      </c>
      <c r="D7" s="1">
        <v>0.30928600000000001</v>
      </c>
      <c r="E7" s="1">
        <v>0.319521</v>
      </c>
      <c r="F7" s="1">
        <v>0.46479999999999999</v>
      </c>
      <c r="G7" s="1">
        <v>0.514459</v>
      </c>
      <c r="H7" s="1">
        <v>0.44078299999999998</v>
      </c>
      <c r="I7" s="2">
        <f t="shared" si="0"/>
        <v>1.0392447675269552</v>
      </c>
      <c r="J7" s="2">
        <f t="shared" si="1"/>
        <v>0.99562477412359951</v>
      </c>
    </row>
    <row r="9" spans="1:10" x14ac:dyDescent="0.3">
      <c r="A9" s="1">
        <v>0.25</v>
      </c>
      <c r="C9" s="3" t="s">
        <v>0</v>
      </c>
      <c r="D9" s="3" t="s">
        <v>1</v>
      </c>
      <c r="E9" s="3" t="s">
        <v>2</v>
      </c>
      <c r="F9" s="3" t="s">
        <v>3</v>
      </c>
      <c r="G9" s="3" t="s">
        <v>4</v>
      </c>
      <c r="H9" s="3" t="s">
        <v>5</v>
      </c>
      <c r="I9" s="2">
        <f>AVERAGE(E10:E15)</f>
        <v>0.30405966666666667</v>
      </c>
      <c r="J9" s="2">
        <f>AVERAGE(H10:H15)</f>
        <v>0.45338633333333328</v>
      </c>
    </row>
    <row r="10" spans="1:10" x14ac:dyDescent="0.3">
      <c r="A10" s="1">
        <v>0.75</v>
      </c>
      <c r="B10" s="2">
        <v>0</v>
      </c>
      <c r="C10" s="3">
        <v>0.2288</v>
      </c>
      <c r="D10" s="3">
        <v>0.29493900000000001</v>
      </c>
      <c r="E10" s="3">
        <v>0.29145799999999999</v>
      </c>
      <c r="F10" s="3">
        <v>0.45800000000000002</v>
      </c>
      <c r="G10" s="3">
        <v>0.51114499999999996</v>
      </c>
      <c r="H10" s="3">
        <v>0.44631799999999999</v>
      </c>
      <c r="I10" s="2">
        <f>E10/$I$9</f>
        <v>0.95855528355728425</v>
      </c>
      <c r="J10" s="2">
        <f>H10/$J$9</f>
        <v>0.98440991090012275</v>
      </c>
    </row>
    <row r="11" spans="1:10" x14ac:dyDescent="0.3">
      <c r="B11" s="2">
        <v>4</v>
      </c>
      <c r="C11" s="1">
        <v>0.2356</v>
      </c>
      <c r="D11" s="1">
        <v>0.29670000000000002</v>
      </c>
      <c r="E11" s="1">
        <v>0.29709999999999998</v>
      </c>
      <c r="F11" s="1">
        <v>0.46160000000000001</v>
      </c>
      <c r="G11" s="1">
        <v>0.51270000000000004</v>
      </c>
      <c r="H11" s="1">
        <v>0.45219999999999999</v>
      </c>
      <c r="I11" s="2">
        <f t="shared" ref="I11:I15" si="2">E11/$I$9</f>
        <v>0.97711085214634397</v>
      </c>
      <c r="J11" s="2">
        <f t="shared" ref="J11:J15" si="3">H11/$J$9</f>
        <v>0.99738339414730204</v>
      </c>
    </row>
    <row r="12" spans="1:10" x14ac:dyDescent="0.3">
      <c r="B12" s="2">
        <v>8</v>
      </c>
      <c r="C12" s="1">
        <v>0.23799999999999999</v>
      </c>
      <c r="D12" s="1">
        <v>0.29849999999999999</v>
      </c>
      <c r="E12" s="1">
        <v>0.2979</v>
      </c>
      <c r="F12" s="1">
        <v>0.4652</v>
      </c>
      <c r="G12" s="1">
        <v>0.51349999999999996</v>
      </c>
      <c r="H12" s="1">
        <v>0.45329999999999998</v>
      </c>
      <c r="I12" s="2">
        <f t="shared" si="2"/>
        <v>0.9797419146899895</v>
      </c>
      <c r="J12" s="2">
        <f t="shared" si="3"/>
        <v>0.99980958108574081</v>
      </c>
    </row>
    <row r="13" spans="1:10" x14ac:dyDescent="0.3">
      <c r="B13" s="2">
        <v>12</v>
      </c>
      <c r="C13" s="1">
        <v>0.25559999999999999</v>
      </c>
      <c r="D13" s="1">
        <v>0.32100000000000001</v>
      </c>
      <c r="E13" s="1">
        <v>0.318</v>
      </c>
      <c r="F13" s="1">
        <v>0.46679999999999999</v>
      </c>
      <c r="G13" s="1">
        <v>0.51939999999999997</v>
      </c>
      <c r="H13" s="1">
        <v>0.45629999999999998</v>
      </c>
      <c r="I13" s="2">
        <f t="shared" si="2"/>
        <v>1.0458473610990826</v>
      </c>
      <c r="J13" s="2">
        <f t="shared" si="3"/>
        <v>1.0064264545542103</v>
      </c>
    </row>
    <row r="14" spans="1:10" x14ac:dyDescent="0.3">
      <c r="B14" s="2">
        <v>16</v>
      </c>
      <c r="C14" s="1">
        <v>0.25440000000000002</v>
      </c>
      <c r="D14" s="1">
        <v>0.31669999999999998</v>
      </c>
      <c r="E14" s="1">
        <v>0.31309999999999999</v>
      </c>
      <c r="F14" s="1">
        <v>0.46960000000000002</v>
      </c>
      <c r="G14" s="1">
        <v>0.52080000000000004</v>
      </c>
      <c r="H14" s="1">
        <v>0.46050000000000002</v>
      </c>
      <c r="I14" s="2">
        <f t="shared" si="2"/>
        <v>1.0297321030192539</v>
      </c>
      <c r="J14" s="2">
        <f t="shared" si="3"/>
        <v>1.0156900774100677</v>
      </c>
    </row>
    <row r="15" spans="1:10" x14ac:dyDescent="0.3">
      <c r="B15" s="2">
        <v>20</v>
      </c>
      <c r="C15" s="1">
        <v>0.248</v>
      </c>
      <c r="D15" s="1">
        <v>0.31119999999999998</v>
      </c>
      <c r="E15" s="1">
        <v>0.30680000000000002</v>
      </c>
      <c r="F15" s="1">
        <v>0.46560000000000001</v>
      </c>
      <c r="G15" s="1">
        <v>0.51629999999999998</v>
      </c>
      <c r="H15" s="1">
        <v>0.45169999999999999</v>
      </c>
      <c r="I15" s="2">
        <f t="shared" si="2"/>
        <v>1.0090124854880458</v>
      </c>
      <c r="J15" s="2">
        <f t="shared" si="3"/>
        <v>0.99628058190255708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</dc:creator>
  <cp:lastModifiedBy>biz</cp:lastModifiedBy>
  <dcterms:created xsi:type="dcterms:W3CDTF">2025-10-27T00:08:00Z</dcterms:created>
  <dcterms:modified xsi:type="dcterms:W3CDTF">2025-10-28T08:00:24Z</dcterms:modified>
</cp:coreProperties>
</file>